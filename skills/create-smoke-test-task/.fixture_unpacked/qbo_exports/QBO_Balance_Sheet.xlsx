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<sst xmlns="http://schemas.openxmlformats.org/spreadsheetml/2006/main" count="56" uniqueCount="56">
  <si>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Atlas Trade Provisions LLC — Balance Sheet</t>
  </si>
  <si>
    <t xml:space="preserve">As of December 31, 2024 · Pre-adjustment · Accrual basis</t>
  </si>
  <si>
    <t xml:space="preserve">ASSETS</t>
  </si>
  <si>
    <t xml:space="preserve">   1010 · Cash - Operating Checking</t>
  </si>
  <si>
    <t xml:space="preserve">   1020 · Cash - Payroll Checking</t>
  </si>
  <si>
    <t xml:space="preserve">   1040 · Cash - Merchant/Lockbox</t>
  </si>
  <si>
    <t xml:space="preserve">   1100 · Accounts Receivable - Trade</t>
  </si>
  <si>
    <t xml:space="preserve">   1180 · Allowance for Doubtful Accounts</t>
  </si>
  <si>
    <t xml:space="preserve">   1200 · Prepaid Insurance</t>
  </si>
  <si>
    <t xml:space="preserve">   1210 · Prepaid Expenses - Other</t>
  </si>
  <si>
    <t xml:space="preserve">   1250 · Vendor Deposits (Non-Monetary)</t>
  </si>
  <si>
    <t xml:space="preserve">   1300 · Inventory - Warehouse (Landed)</t>
  </si>
  <si>
    <t xml:space="preserve">   1310 · Inventory - In Transit</t>
  </si>
  <si>
    <t xml:space="preserve">   1320 · Inventory - Quality Hold</t>
  </si>
  <si>
    <t xml:space="preserve">   1350 · Inventory Reserve - Obsolescence/Expiry</t>
  </si>
  <si>
    <t xml:space="preserve">   1400 · Leasehold Improvements - Warehouse Buildout</t>
  </si>
  <si>
    <t xml:space="preserve">   1410 · Racking &amp; Storage Systems</t>
  </si>
  <si>
    <t xml:space="preserve">   1420 · Refrigeration &amp; Cold-Storage Systems</t>
  </si>
  <si>
    <t xml:space="preserve">   1430 · Dock &amp; Material-Handling Equipment</t>
  </si>
  <si>
    <t xml:space="preserve">   1440 · Forklifts &amp; Powered Equipment</t>
  </si>
  <si>
    <t xml:space="preserve">   1450 · Delivery Fleet - Owned</t>
  </si>
  <si>
    <t xml:space="preserve">   1460 · Office &amp; IT Equipment</t>
  </si>
  <si>
    <t xml:space="preserve">   1490 · Accumulated Depreciation</t>
  </si>
  <si>
    <t xml:space="preserve">   1500 · ROU Asset - Warehouse Building (Operating)</t>
  </si>
  <si>
    <t xml:space="preserve">   1510 · ROU Asset - Cold-Storage Equipment (Finance)</t>
  </si>
  <si>
    <t xml:space="preserve">   1520 · ROU Asset - Delivery Fleet (Operating)</t>
  </si>
  <si>
    <t xml:space="preserve">   1590 · Accumulated Amortization - ROU (Finance)</t>
  </si>
  <si>
    <t xml:space="preserve">Total Assets</t>
  </si>
  <si>
    <t xml:space="preserve">LIABILITIES</t>
  </si>
  <si>
    <t xml:space="preserve">   2000 · Accounts Payable - Trade (USD)</t>
  </si>
  <si>
    <t xml:space="preserve">   2010 · Accounts Payable - Foreign Currency (FC)</t>
  </si>
  <si>
    <t xml:space="preserve">   2050 · Credit Card Payable</t>
  </si>
  <si>
    <t xml:space="preserve">   2100 · Accrued Payroll</t>
  </si>
  <si>
    <t xml:space="preserve">   2110 · Accrued Payroll Taxes</t>
  </si>
  <si>
    <t xml:space="preserve">   2120 · Accrued Employee Benefits</t>
  </si>
  <si>
    <t xml:space="preserve">   2150 · Accrued Freight / Duty / Landed Cost</t>
  </si>
  <si>
    <t xml:space="preserve">   2200 · Customer Deposits / Advances</t>
  </si>
  <si>
    <t xml:space="preserve">   2210 · Customer Promo/Rebate Accrual</t>
  </si>
  <si>
    <t xml:space="preserve">   2250 · Deferred Revenue - Seasonal Programs</t>
  </si>
  <si>
    <t xml:space="preserve">   2310 · Sales Tax Payable</t>
  </si>
  <si>
    <t xml:space="preserve">   2400 · Lease Liability - Operating (Current)</t>
  </si>
  <si>
    <t xml:space="preserve">   2410 · Lease Liability - Operating (Non-Current)</t>
  </si>
  <si>
    <t xml:space="preserve">   2420 · Lease Liability - Finance (Current)</t>
  </si>
  <si>
    <t xml:space="preserve">   2430 · Lease Liability - Finance (Non-Current)</t>
  </si>
  <si>
    <t xml:space="preserve">   2700 · Equipment/Fleet Note Payable</t>
  </si>
  <si>
    <t xml:space="preserve">Total Liabilities</t>
  </si>
  <si>
    <t xml:space="preserve">EQUITY</t>
  </si>
  <si>
    <t xml:space="preserve">   3000 · Member Capital - Atlas Holdings</t>
  </si>
  <si>
    <t xml:space="preserve">   3010 · Member Capital - Member B</t>
  </si>
  <si>
    <t xml:space="preserve">   3020 · Member Capital - Member C</t>
  </si>
  <si>
    <t xml:space="preserve">   3100 · Member Distributions</t>
  </si>
  <si>
    <t xml:space="preserve">   3200 · Retained Earnings</t>
  </si>
  <si>
    <t xml:space="preserve">   Net Income (current year, pre-adjustment)</t>
  </si>
  <si>
    <t xml:space="preserve">Total Equity</t>
  </si>
  <si>
    <t xml:space="preserve">Total Liabilities &amp; Equity</t>
  </si>
  <si>
    <t xml:space="preserve">Balance check (Assets − Liabilities &amp; Equity):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</si>
</sst>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($&quot;#,##0.00&quot;)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3A2E55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b val="true"/>
      <sz val="10"/>
      <color rgb="FF1F4D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9F7"/>
        <bgColor rgb="FFE8F5EF"/>
      </patternFill>
    </fill>
    <fill>
      <patternFill patternType="solid">
        <fgColor rgb="FFC8B8E0"/>
        <bgColor rgb="FFD9CCEE"/>
      </patternFill>
    </fill>
    <fill>
      <patternFill patternType="solid">
        <fgColor rgb="FFBFE3D6"/>
        <bgColor rgb="FFD8D2E0"/>
      </patternFill>
    </fill>
    <fill>
      <patternFill patternType="solid">
        <fgColor rgb="FFE8F5EF"/>
        <bgColor rgb="FFEFE9F7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</cols>
  <sheetData>
    <row r="1" customFormat="false" ht="19.5" hidden="false" customHeight="true" outlineLevel="0" collapsed="false">
      <c r="A1" s="1" t="s">
        <v>0</v>
      </c>
      <c r="B1" s="1"/>
    </row>
    <row r="2" customFormat="false" ht="15" hidden="false" customHeight="true" outlineLevel="0" collapsed="false">
      <c r="A2" s="2" t="s">
        <v>1</v>
      </c>
      <c r="B2" s="2"/>
    </row>
    <row r="4" customFormat="false" ht="15" hidden="false" customHeight="tru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837742</v>
      </c>
    </row>
    <row r="6" customFormat="false" ht="15" hidden="false" customHeight="false" outlineLevel="0" collapsed="false">
      <c r="A6" s="4" t="s">
        <v>4</v>
      </c>
      <c r="B6" s="5" t="n">
        <v>65000</v>
      </c>
    </row>
    <row r="7" customFormat="false" ht="15" hidden="false" customHeight="false" outlineLevel="0" collapsed="false">
      <c r="A7" s="4" t="s">
        <v>5</v>
      </c>
      <c r="B7" s="5" t="n">
        <v>88000</v>
      </c>
    </row>
    <row r="8" customFormat="false" ht="15" hidden="false" customHeight="false" outlineLevel="0" collapsed="false">
      <c r="A8" s="4" t="s">
        <v>6</v>
      </c>
      <c r="B8" s="5" t="n">
        <v>922700</v>
      </c>
    </row>
    <row r="9" customFormat="false" ht="15" hidden="false" customHeight="false" outlineLevel="0" collapsed="false">
      <c r="A9" s="4" t="s">
        <v>7</v>
      </c>
      <c r="B9" s="5" t="n">
        <v>-42000</v>
      </c>
    </row>
    <row r="10" customFormat="false" ht="15" hidden="false" customHeight="false" outlineLevel="0" collapsed="false">
      <c r="A10" s="4" t="s">
        <v>8</v>
      </c>
      <c r="B10" s="5" t="n">
        <v>72000</v>
      </c>
    </row>
    <row r="11" customFormat="false" ht="15" hidden="false" customHeight="false" outlineLevel="0" collapsed="false">
      <c r="A11" s="4" t="s">
        <v>9</v>
      </c>
      <c r="B11" s="5" t="n">
        <v>27000</v>
      </c>
    </row>
    <row r="12" customFormat="false" ht="15" hidden="false" customHeight="false" outlineLevel="0" collapsed="false">
      <c r="A12" s="4" t="s">
        <v>10</v>
      </c>
      <c r="B12" s="5" t="n">
        <v>160000</v>
      </c>
    </row>
    <row r="13" customFormat="false" ht="15" hidden="false" customHeight="false" outlineLevel="0" collapsed="false">
      <c r="A13" s="4" t="s">
        <v>11</v>
      </c>
      <c r="B13" s="5" t="n">
        <v>968409</v>
      </c>
    </row>
    <row r="14" customFormat="false" ht="15" hidden="false" customHeight="false" outlineLevel="0" collapsed="false">
      <c r="A14" s="4" t="s">
        <v>12</v>
      </c>
      <c r="B14" s="5" t="n">
        <v>370000</v>
      </c>
    </row>
    <row r="15" customFormat="false" ht="15" hidden="false" customHeight="false" outlineLevel="0" collapsed="false">
      <c r="A15" s="4" t="s">
        <v>13</v>
      </c>
      <c r="B15" s="5" t="n">
        <v>50000</v>
      </c>
    </row>
    <row r="16" customFormat="false" ht="15" hidden="false" customHeight="false" outlineLevel="0" collapsed="false">
      <c r="A16" s="4" t="s">
        <v>14</v>
      </c>
      <c r="B16" s="5" t="n">
        <v>-71000</v>
      </c>
    </row>
    <row r="17" customFormat="false" ht="15" hidden="false" customHeight="false" outlineLevel="0" collapsed="false">
      <c r="A17" s="4" t="s">
        <v>15</v>
      </c>
      <c r="B17" s="5" t="n">
        <v>676000</v>
      </c>
    </row>
    <row r="18" customFormat="false" ht="15" hidden="false" customHeight="false" outlineLevel="0" collapsed="false">
      <c r="A18" s="4" t="s">
        <v>16</v>
      </c>
      <c r="B18" s="5" t="n">
        <v>412000</v>
      </c>
    </row>
    <row r="19" customFormat="false" ht="15" hidden="false" customHeight="false" outlineLevel="0" collapsed="false">
      <c r="A19" s="4" t="s">
        <v>17</v>
      </c>
      <c r="B19" s="5" t="n">
        <v>744000</v>
      </c>
    </row>
    <row r="20" customFormat="false" ht="15" hidden="false" customHeight="false" outlineLevel="0" collapsed="false">
      <c r="A20" s="4" t="s">
        <v>18</v>
      </c>
      <c r="B20" s="5" t="n">
        <v>170000</v>
      </c>
    </row>
    <row r="21" customFormat="false" ht="15" hidden="false" customHeight="false" outlineLevel="0" collapsed="false">
      <c r="A21" s="4" t="s">
        <v>19</v>
      </c>
      <c r="B21" s="5" t="n">
        <v>250000</v>
      </c>
    </row>
    <row r="22" customFormat="false" ht="15" hidden="false" customHeight="false" outlineLevel="0" collapsed="false">
      <c r="A22" s="4" t="s">
        <v>20</v>
      </c>
      <c r="B22" s="5" t="n">
        <v>432000</v>
      </c>
    </row>
    <row r="23" customFormat="false" ht="15" hidden="false" customHeight="false" outlineLevel="0" collapsed="false">
      <c r="A23" s="4" t="s">
        <v>21</v>
      </c>
      <c r="B23" s="5" t="n">
        <v>140000</v>
      </c>
    </row>
    <row r="24" customFormat="false" ht="15" hidden="false" customHeight="false" outlineLevel="0" collapsed="false">
      <c r="A24" s="4" t="s">
        <v>22</v>
      </c>
      <c r="B24" s="5" t="n">
        <v>-1563439.71</v>
      </c>
    </row>
    <row r="25" customFormat="false" ht="15" hidden="false" customHeight="false" outlineLevel="0" collapsed="false">
      <c r="A25" s="4" t="s">
        <v>23</v>
      </c>
      <c r="B25" s="5" t="n">
        <v>773000</v>
      </c>
    </row>
    <row r="26" customFormat="false" ht="15" hidden="false" customHeight="false" outlineLevel="0" collapsed="false">
      <c r="A26" s="4" t="s">
        <v>24</v>
      </c>
      <c r="B26" s="5" t="n">
        <v>330000</v>
      </c>
    </row>
    <row r="27" customFormat="false" ht="15" hidden="false" customHeight="false" outlineLevel="0" collapsed="false">
      <c r="A27" s="4" t="s">
        <v>25</v>
      </c>
      <c r="B27" s="5" t="n">
        <v>240000</v>
      </c>
    </row>
    <row r="28" customFormat="false" ht="15" hidden="false" customHeight="false" outlineLevel="0" collapsed="false">
      <c r="A28" s="4" t="s">
        <v>26</v>
      </c>
      <c r="B28" s="5" t="n">
        <v>-150000</v>
      </c>
    </row>
    <row r="29" customFormat="false" ht="15" hidden="false" customHeight="false" outlineLevel="0" collapsed="false">
      <c r="A29" s="6" t="s">
        <v>27</v>
      </c>
      <c r="B29" s="7" t="n">
        <f aca="false">SUM(B5:B28)</f>
        <v>5901411.29</v>
      </c>
    </row>
    <row r="31" customFormat="false" ht="15" hidden="false" customHeight="true" outlineLevel="0" collapsed="false">
      <c r="A31" s="8" t="s">
        <v>28</v>
      </c>
      <c r="B31" s="8"/>
    </row>
    <row r="32" customFormat="false" ht="15" hidden="false" customHeight="false" outlineLevel="0" collapsed="false">
      <c r="A32" s="4" t="s">
        <v>29</v>
      </c>
      <c r="B32" s="5" t="n">
        <v>540000</v>
      </c>
    </row>
    <row r="33" customFormat="false" ht="15" hidden="false" customHeight="false" outlineLevel="0" collapsed="false">
      <c r="A33" s="4" t="s">
        <v>30</v>
      </c>
      <c r="B33" s="5" t="n">
        <v>214000</v>
      </c>
    </row>
    <row r="34" customFormat="false" ht="15" hidden="false" customHeight="false" outlineLevel="0" collapsed="false">
      <c r="A34" s="4" t="s">
        <v>31</v>
      </c>
      <c r="B34" s="5" t="n">
        <v>61500</v>
      </c>
    </row>
    <row r="35" customFormat="false" ht="15" hidden="false" customHeight="false" outlineLevel="0" collapsed="false">
      <c r="A35" s="4" t="s">
        <v>32</v>
      </c>
      <c r="B35" s="5" t="n">
        <v>52000</v>
      </c>
    </row>
    <row r="36" customFormat="false" ht="15" hidden="false" customHeight="false" outlineLevel="0" collapsed="false">
      <c r="A36" s="4" t="s">
        <v>33</v>
      </c>
      <c r="B36" s="5" t="n">
        <v>26000</v>
      </c>
    </row>
    <row r="37" customFormat="false" ht="15" hidden="false" customHeight="false" outlineLevel="0" collapsed="false">
      <c r="A37" s="4" t="s">
        <v>34</v>
      </c>
      <c r="B37" s="5" t="n">
        <v>24000</v>
      </c>
    </row>
    <row r="38" customFormat="false" ht="15" hidden="false" customHeight="false" outlineLevel="0" collapsed="false">
      <c r="A38" s="4" t="s">
        <v>35</v>
      </c>
      <c r="B38" s="5" t="n">
        <v>11909</v>
      </c>
    </row>
    <row r="39" customFormat="false" ht="15" hidden="false" customHeight="false" outlineLevel="0" collapsed="false">
      <c r="A39" s="4" t="s">
        <v>36</v>
      </c>
      <c r="B39" s="5" t="n">
        <v>160000</v>
      </c>
    </row>
    <row r="40" customFormat="false" ht="15" hidden="false" customHeight="false" outlineLevel="0" collapsed="false">
      <c r="A40" s="4" t="s">
        <v>37</v>
      </c>
      <c r="B40" s="5" t="n">
        <v>50000</v>
      </c>
    </row>
    <row r="41" customFormat="false" ht="15" hidden="false" customHeight="false" outlineLevel="0" collapsed="false">
      <c r="A41" s="4" t="s">
        <v>38</v>
      </c>
      <c r="B41" s="5" t="n">
        <v>70000</v>
      </c>
    </row>
    <row r="42" customFormat="false" ht="15" hidden="false" customHeight="false" outlineLevel="0" collapsed="false">
      <c r="A42" s="4" t="s">
        <v>39</v>
      </c>
      <c r="B42" s="5" t="n">
        <v>91000</v>
      </c>
    </row>
    <row r="43" customFormat="false" ht="15" hidden="false" customHeight="false" outlineLevel="0" collapsed="false">
      <c r="A43" s="4" t="s">
        <v>40</v>
      </c>
      <c r="B43" s="5" t="n">
        <v>241817</v>
      </c>
    </row>
    <row r="44" customFormat="false" ht="15" hidden="false" customHeight="false" outlineLevel="0" collapsed="false">
      <c r="A44" s="4" t="s">
        <v>41</v>
      </c>
      <c r="B44" s="5" t="n">
        <v>636183</v>
      </c>
    </row>
    <row r="45" customFormat="false" ht="15" hidden="false" customHeight="false" outlineLevel="0" collapsed="false">
      <c r="A45" s="4" t="s">
        <v>42</v>
      </c>
      <c r="B45" s="5" t="n">
        <v>117566</v>
      </c>
    </row>
    <row r="46" customFormat="false" ht="15" hidden="false" customHeight="false" outlineLevel="0" collapsed="false">
      <c r="A46" s="4" t="s">
        <v>43</v>
      </c>
      <c r="B46" s="5" t="n">
        <v>166558.85</v>
      </c>
    </row>
    <row r="47" customFormat="false" ht="15" hidden="false" customHeight="false" outlineLevel="0" collapsed="false">
      <c r="A47" s="4" t="s">
        <v>44</v>
      </c>
      <c r="B47" s="5" t="n">
        <v>249000</v>
      </c>
    </row>
    <row r="48" customFormat="false" ht="15" hidden="false" customHeight="false" outlineLevel="0" collapsed="false">
      <c r="A48" s="9" t="s">
        <v>45</v>
      </c>
      <c r="B48" s="10" t="n">
        <f aca="false">SUM(B32:B47)</f>
        <v>2711533.85</v>
      </c>
    </row>
    <row r="50" customFormat="false" ht="15" hidden="false" customHeight="true" outlineLevel="0" collapsed="false">
      <c r="A50" s="3" t="s">
        <v>46</v>
      </c>
      <c r="B50" s="3"/>
    </row>
    <row r="51" customFormat="false" ht="15" hidden="false" customHeight="false" outlineLevel="0" collapsed="false">
      <c r="A51" s="4" t="s">
        <v>47</v>
      </c>
      <c r="B51" s="5" t="n">
        <v>742000</v>
      </c>
    </row>
    <row r="52" customFormat="false" ht="15" hidden="false" customHeight="false" outlineLevel="0" collapsed="false">
      <c r="A52" s="4" t="s">
        <v>48</v>
      </c>
      <c r="B52" s="5" t="n">
        <v>445200</v>
      </c>
    </row>
    <row r="53" customFormat="false" ht="15" hidden="false" customHeight="false" outlineLevel="0" collapsed="false">
      <c r="A53" s="4" t="s">
        <v>49</v>
      </c>
      <c r="B53" s="5" t="n">
        <v>297200</v>
      </c>
    </row>
    <row r="54" customFormat="false" ht="15" hidden="false" customHeight="false" outlineLevel="0" collapsed="false">
      <c r="A54" s="4" t="s">
        <v>50</v>
      </c>
      <c r="B54" s="5" t="n">
        <v>-720000</v>
      </c>
    </row>
    <row r="55" customFormat="false" ht="15" hidden="false" customHeight="false" outlineLevel="0" collapsed="false">
      <c r="A55" s="4" t="s">
        <v>51</v>
      </c>
      <c r="B55" s="5" t="n">
        <v>1681390.9</v>
      </c>
    </row>
    <row r="56" customFormat="false" ht="15" hidden="false" customHeight="false" outlineLevel="0" collapsed="false">
      <c r="A56" s="4" t="s">
        <v>52</v>
      </c>
      <c r="B56" s="5" t="n">
        <v>744086.54</v>
      </c>
    </row>
    <row r="57" customFormat="false" ht="15" hidden="false" customHeight="false" outlineLevel="0" collapsed="false">
      <c r="A57" s="6" t="s">
        <v>53</v>
      </c>
      <c r="B57" s="7" t="n">
        <f aca="false">SUM(B51:B56)</f>
        <v>3189877.44</v>
      </c>
    </row>
    <row r="58" customFormat="false" ht="15" hidden="false" customHeight="false" outlineLevel="0" collapsed="false">
      <c r="A58" s="11" t="s">
        <v>54</v>
      </c>
      <c r="B58" s="12" t="n">
        <f aca="false">B48+B57</f>
        <v>5901411.29</v>
      </c>
    </row>
    <row r="60" customFormat="false" ht="15" hidden="false" customHeight="false" outlineLevel="0" collapsed="false">
      <c r="A60" s="13" t="s">
        <v>55</v>
      </c>
      <c r="B60" s="14" t="n">
        <f aca="false">B29-(B48+B57)</f>
        <v>0</v>
      </c>
    </row>
  </sheetData>
  <mergeCells count="5">
    <mergeCell ref="A1:B1"/>
    <mergeCell ref="A2:B2"/>
    <mergeCell ref="A4:B4"/>
    <mergeCell ref="A31:B31"/>
    <mergeCell ref="A50:B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2026-06-17T11:20:56Z</dcterms:created>
  <dc:creator>openpyxl</dc:creator>
  <dc:description/>
  <dc:language>en-US</dc:language>
  <cp:lastModifiedBy/>
  <dcterms:modified xsi:type="dcterms:W3CDTF">2026-06-17T11:20:56Z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