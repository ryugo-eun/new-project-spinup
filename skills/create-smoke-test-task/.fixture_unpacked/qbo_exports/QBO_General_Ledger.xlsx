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 Led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<sst xmlns="http://schemas.openxmlformats.org/spreadsheetml/2006/main" count="176" uniqueCount="99">
  <si>
    <t xml:space="preserve">Atlas Trade Provisions LLC — General Ledger Summary</t>
  </si>
  <si>
    <t xml:space="preserve">January 1 – December 31, 2024 · Pre-adjustment ending balances · Accrual basis</t>
  </si>
  <si>
    <t xml:space="preserve">Account</t>
  </si>
  <si>
    <t xml:space="preserve">Type</t>
  </si>
  <si>
    <t xml:space="preserve">Beginning Balance</t>
  </si>
  <si>
    <t xml:space="preserve">Net Activity</t>
  </si>
  <si>
    <t xml:space="preserve">Ending Balance</t>
  </si>
  <si>
    <t xml:space="preserve">1010 · Cash - Operating Checking</t>
  </si>
  <si>
    <t xml:space="preserve">Asset</t>
  </si>
  <si>
    <t xml:space="preserve">1020 · Cash - Payroll Checking</t>
  </si>
  <si>
    <t xml:space="preserve">1040 · Cash - Merchant/Lockbox</t>
  </si>
  <si>
    <t xml:space="preserve">1100 · Accounts Receivable - Trade</t>
  </si>
  <si>
    <t xml:space="preserve">1180 · Allowance for Doubtful Accounts</t>
  </si>
  <si>
    <t xml:space="preserve">1200 · Prepaid Insurance</t>
  </si>
  <si>
    <t xml:space="preserve">1210 · Prepaid Expenses - Other</t>
  </si>
  <si>
    <t xml:space="preserve">1250 · Vendor Deposits (Non-Monetary)</t>
  </si>
  <si>
    <t xml:space="preserve">1300 · Inventory - Warehouse (Landed)</t>
  </si>
  <si>
    <t xml:space="preserve">1310 · Inventory - In Transit</t>
  </si>
  <si>
    <t xml:space="preserve">1320 · Inventory - Quality Hold</t>
  </si>
  <si>
    <t xml:space="preserve">1350 · Inventory Reserve - Obsolescence/Expiry</t>
  </si>
  <si>
    <t xml:space="preserve">1400 · Leasehold Improvements - Warehouse Buildout</t>
  </si>
  <si>
    <t xml:space="preserve">1410 · Racking &amp; Storage Systems</t>
  </si>
  <si>
    <t xml:space="preserve">1420 · Refrigeration &amp; Cold-Storage Systems</t>
  </si>
  <si>
    <t xml:space="preserve">1430 · Dock &amp; Material-Handling Equipment</t>
  </si>
  <si>
    <t xml:space="preserve">1440 · Forklifts &amp; Powered Equipment</t>
  </si>
  <si>
    <t xml:space="preserve">1450 · Delivery Fleet - Owned</t>
  </si>
  <si>
    <t xml:space="preserve">1460 · Office &amp; IT Equipment</t>
  </si>
  <si>
    <t xml:space="preserve">1490 · Accumulated Depreciation</t>
  </si>
  <si>
    <t xml:space="preserve">1500 · ROU Asset - Warehouse Building (Operating)</t>
  </si>
  <si>
    <t xml:space="preserve">1510 · ROU Asset - Cold-Storage Equipment (Finance)</t>
  </si>
  <si>
    <t xml:space="preserve">1520 · ROU Asset - Delivery Fleet (Operating)</t>
  </si>
  <si>
    <t xml:space="preserve">1590 · Accumulated Amortization - ROU (Finance)</t>
  </si>
  <si>
    <t xml:space="preserve">2000 · Accounts Payable - Trade (USD)</t>
  </si>
  <si>
    <t xml:space="preserve">Liability</t>
  </si>
  <si>
    <t xml:space="preserve">2010 · Accounts Payable - Foreign Currency (FC)</t>
  </si>
  <si>
    <t xml:space="preserve">2050 · Credit Card Payable</t>
  </si>
  <si>
    <t xml:space="preserve">2100 · Accrued Payroll</t>
  </si>
  <si>
    <t xml:space="preserve">2110 · Accrued Payroll Taxes</t>
  </si>
  <si>
    <t xml:space="preserve">2120 · Accrued Employee Benefits</t>
  </si>
  <si>
    <t xml:space="preserve">2150 · Accrued Freight / Duty / Landed Cost</t>
  </si>
  <si>
    <t xml:space="preserve">2200 · Customer Deposits / Advances</t>
  </si>
  <si>
    <t xml:space="preserve">2210 · Customer Promo/Rebate Accrual</t>
  </si>
  <si>
    <t xml:space="preserve">2250 · Deferred Revenue - Seasonal Programs</t>
  </si>
  <si>
    <t xml:space="preserve">2310 · Sales Tax Payable</t>
  </si>
  <si>
    <t xml:space="preserve">2400 · Lease Liability - Operating (Current)</t>
  </si>
  <si>
    <t xml:space="preserve">2410 · Lease Liability - Operating (Non-Current)</t>
  </si>
  <si>
    <t xml:space="preserve">2420 · Lease Liability - Finance (Current)</t>
  </si>
  <si>
    <t xml:space="preserve">2430 · Lease Liability - Finance (Non-Current)</t>
  </si>
  <si>
    <t xml:space="preserve">2700 · Equipment/Fleet Note Payable</t>
  </si>
  <si>
    <t xml:space="preserve">3000 · Member Capital - Atlas Holdings</t>
  </si>
  <si>
    <t xml:space="preserve">Equity</t>
  </si>
  <si>
    <t xml:space="preserve">3010 · Member Capital - Member B</t>
  </si>
  <si>
    <t xml:space="preserve">3020 · Member Capital - Member C</t>
  </si>
  <si>
    <t xml:space="preserve">3100 · Member Distributions</t>
  </si>
  <si>
    <t xml:space="preserve">3200 · Retained Earnings</t>
  </si>
  <si>
    <t xml:space="preserve">4010 · Revenue - Independent Retail/Specialty</t>
  </si>
  <si>
    <t xml:space="preserve">Revenue</t>
  </si>
  <si>
    <t xml:space="preserve">4020 · Revenue - Regional Chain Retail</t>
  </si>
  <si>
    <t xml:space="preserve">4030 · Revenue - Restaurant/Foodservice</t>
  </si>
  <si>
    <t xml:space="preserve">4040 · Revenue - Wholesale Marketplace</t>
  </si>
  <si>
    <t xml:space="preserve">4050 · Revenue - Seasonal/Holiday Programs</t>
  </si>
  <si>
    <t xml:space="preserve">4080 · Contra-Revenue - Promo/Slotting Allowances</t>
  </si>
  <si>
    <t xml:space="preserve">4090 · Other Operating Revenue</t>
  </si>
  <si>
    <t xml:space="preserve">5010 · COGS - Independent Retail/Specialty</t>
  </si>
  <si>
    <t xml:space="preserve">COGS</t>
  </si>
  <si>
    <t xml:space="preserve">5020 · COGS - Regional Chain Retail</t>
  </si>
  <si>
    <t xml:space="preserve">5030 · COGS - Restaurant/Foodservice</t>
  </si>
  <si>
    <t xml:space="preserve">5040 · COGS - Wholesale Marketplace</t>
  </si>
  <si>
    <t xml:space="preserve">5050 · COGS - Seasonal/Holiday Programs</t>
  </si>
  <si>
    <t xml:space="preserve">5100 · Inventory Write-off - Expiry/Spoilage</t>
  </si>
  <si>
    <t xml:space="preserve">5150 · Supplier Rebates - COGS Offset</t>
  </si>
  <si>
    <t xml:space="preserve">5200 · Inbound Freight &amp; Duty Expensed (period)</t>
  </si>
  <si>
    <t xml:space="preserve">6010 · Wages - Warehouse/Operations</t>
  </si>
  <si>
    <t xml:space="preserve">OpEx</t>
  </si>
  <si>
    <t xml:space="preserve">6020 · Wages - Delivery/Drivers</t>
  </si>
  <si>
    <t xml:space="preserve">6030 · Wages - Sales/Account Mgmt</t>
  </si>
  <si>
    <t xml:space="preserve">6040 · Wages - Administration</t>
  </si>
  <si>
    <t xml:space="preserve">6070 · Payroll Taxes - Employer</t>
  </si>
  <si>
    <t xml:space="preserve">6080 · Employee Benefits</t>
  </si>
  <si>
    <t xml:space="preserve">7110 · Utilities</t>
  </si>
  <si>
    <t xml:space="preserve">7120 · Telephone &amp; Internet</t>
  </si>
  <si>
    <t xml:space="preserve">7150 · Warehouse Supplies &amp; Consumables</t>
  </si>
  <si>
    <t xml:space="preserve">7200 · Advertising &amp; Marketing</t>
  </si>
  <si>
    <t xml:space="preserve">7300 · Insurance - Property/Fleet/Cargo</t>
  </si>
  <si>
    <t xml:space="preserve">7400 · Professional Services</t>
  </si>
  <si>
    <t xml:space="preserve">7410 · IT &amp; Software Subscriptions</t>
  </si>
  <si>
    <t xml:space="preserve">7520 · Bank &amp; Merchant Fees</t>
  </si>
  <si>
    <t xml:space="preserve">7600 · Depreciation Expense</t>
  </si>
  <si>
    <t xml:space="preserve">7650 · Amortization - ROU (Finance Lease)</t>
  </si>
  <si>
    <t xml:space="preserve">7700 · Lease Expense - Operating</t>
  </si>
  <si>
    <t xml:space="preserve">7710 · Repairs &amp; Maintenance</t>
  </si>
  <si>
    <t xml:space="preserve">7900 · Bad Debt / Misc Expense</t>
  </si>
  <si>
    <t xml:space="preserve">8100 · Interest Expense - Finance Lease</t>
  </si>
  <si>
    <t xml:space="preserve">Other Exp</t>
  </si>
  <si>
    <t xml:space="preserve">8110 · Interest Expense - Notes Payable</t>
  </si>
  <si>
    <t xml:space="preserve">8200 · FX Gain/(Loss) - Unrealized</t>
  </si>
  <si>
    <t xml:space="preserve">8210 · FX Gain/(Loss) - Realized</t>
  </si>
  <si>
    <t xml:space="preserve">8900 · Gain/(Loss) on Disposal of Fixed Assets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</si>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</sst>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($&quot;#,##0.00&quot;))&quot;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9"/>
      <color rgb="FF2B24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D8D2E0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5" min="3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520000</v>
      </c>
      <c r="D5" s="6" t="n">
        <f aca="false">E5-C5</f>
        <v>317742</v>
      </c>
      <c r="E5" s="5" t="n">
        <v>837742</v>
      </c>
    </row>
    <row r="6" customFormat="false" ht="15" hidden="false" customHeight="false" outlineLevel="0" collapsed="false">
      <c r="A6" s="4" t="s">
        <v>9</v>
      </c>
      <c r="B6" s="4" t="s">
        <v>8</v>
      </c>
      <c r="C6" s="5" t="n">
        <v>55000</v>
      </c>
      <c r="D6" s="6" t="n">
        <f aca="false">E6-C6</f>
        <v>10000</v>
      </c>
      <c r="E6" s="5" t="n">
        <v>65000</v>
      </c>
    </row>
    <row r="7" customFormat="false" ht="15" hidden="false" customHeight="false" outlineLevel="0" collapsed="false">
      <c r="A7" s="4" t="s">
        <v>10</v>
      </c>
      <c r="B7" s="4" t="s">
        <v>8</v>
      </c>
      <c r="C7" s="5" t="n">
        <v>70000</v>
      </c>
      <c r="D7" s="6" t="n">
        <f aca="false">E7-C7</f>
        <v>18000</v>
      </c>
      <c r="E7" s="5" t="n">
        <v>88000</v>
      </c>
    </row>
    <row r="8" customFormat="false" ht="15" hidden="false" customHeight="false" outlineLevel="0" collapsed="false">
      <c r="A8" s="4" t="s">
        <v>11</v>
      </c>
      <c r="B8" s="4" t="s">
        <v>8</v>
      </c>
      <c r="C8" s="5" t="n">
        <v>815000</v>
      </c>
      <c r="D8" s="6" t="n">
        <f aca="false">E8-C8</f>
        <v>107700</v>
      </c>
      <c r="E8" s="5" t="n">
        <v>922700</v>
      </c>
    </row>
    <row r="9" customFormat="false" ht="15" hidden="false" customHeight="false" outlineLevel="0" collapsed="false">
      <c r="A9" s="4" t="s">
        <v>12</v>
      </c>
      <c r="B9" s="4" t="s">
        <v>8</v>
      </c>
      <c r="C9" s="5" t="n">
        <v>-32000</v>
      </c>
      <c r="D9" s="6" t="n">
        <f aca="false">E9-C9</f>
        <v>-10000</v>
      </c>
      <c r="E9" s="5" t="n">
        <v>-42000</v>
      </c>
    </row>
    <row r="10" customFormat="false" ht="15" hidden="false" customHeight="false" outlineLevel="0" collapsed="false">
      <c r="A10" s="4" t="s">
        <v>13</v>
      </c>
      <c r="B10" s="4" t="s">
        <v>8</v>
      </c>
      <c r="C10" s="5" t="n">
        <v>84000</v>
      </c>
      <c r="D10" s="6" t="n">
        <f aca="false">E10-C10</f>
        <v>-12000</v>
      </c>
      <c r="E10" s="5" t="n">
        <v>72000</v>
      </c>
    </row>
    <row r="11" customFormat="false" ht="15" hidden="false" customHeight="false" outlineLevel="0" collapsed="false">
      <c r="A11" s="4" t="s">
        <v>14</v>
      </c>
      <c r="B11" s="4" t="s">
        <v>8</v>
      </c>
      <c r="C11" s="5" t="n">
        <v>30000</v>
      </c>
      <c r="D11" s="6" t="n">
        <f aca="false">E11-C11</f>
        <v>-3000</v>
      </c>
      <c r="E11" s="5" t="n">
        <v>27000</v>
      </c>
    </row>
    <row r="12" customFormat="false" ht="15" hidden="false" customHeight="false" outlineLevel="0" collapsed="false">
      <c r="A12" s="4" t="s">
        <v>15</v>
      </c>
      <c r="B12" s="4" t="s">
        <v>8</v>
      </c>
      <c r="C12" s="5" t="n">
        <v>140000</v>
      </c>
      <c r="D12" s="6" t="n">
        <f aca="false">E12-C12</f>
        <v>20000</v>
      </c>
      <c r="E12" s="5" t="n">
        <v>160000</v>
      </c>
    </row>
    <row r="13" customFormat="false" ht="15" hidden="false" customHeight="false" outlineLevel="0" collapsed="false">
      <c r="A13" s="4" t="s">
        <v>16</v>
      </c>
      <c r="B13" s="4" t="s">
        <v>8</v>
      </c>
      <c r="C13" s="5" t="n">
        <v>1180000</v>
      </c>
      <c r="D13" s="6" t="n">
        <f aca="false">E13-C13</f>
        <v>-211591</v>
      </c>
      <c r="E13" s="5" t="n">
        <v>968409</v>
      </c>
    </row>
    <row r="14" customFormat="false" ht="15" hidden="false" customHeight="false" outlineLevel="0" collapsed="false">
      <c r="A14" s="4" t="s">
        <v>17</v>
      </c>
      <c r="B14" s="4" t="s">
        <v>8</v>
      </c>
      <c r="C14" s="5" t="n">
        <v>240000</v>
      </c>
      <c r="D14" s="6" t="n">
        <f aca="false">E14-C14</f>
        <v>130000</v>
      </c>
      <c r="E14" s="5" t="n">
        <v>370000</v>
      </c>
    </row>
    <row r="15" customFormat="false" ht="15" hidden="false" customHeight="false" outlineLevel="0" collapsed="false">
      <c r="A15" s="4" t="s">
        <v>18</v>
      </c>
      <c r="B15" s="4" t="s">
        <v>8</v>
      </c>
      <c r="C15" s="5" t="n">
        <v>40000</v>
      </c>
      <c r="D15" s="6" t="n">
        <f aca="false">E15-C15</f>
        <v>10000</v>
      </c>
      <c r="E15" s="5" t="n">
        <v>50000</v>
      </c>
    </row>
    <row r="16" customFormat="false" ht="15" hidden="false" customHeight="false" outlineLevel="0" collapsed="false">
      <c r="A16" s="4" t="s">
        <v>19</v>
      </c>
      <c r="B16" s="4" t="s">
        <v>8</v>
      </c>
      <c r="C16" s="5" t="n">
        <v>-60000</v>
      </c>
      <c r="D16" s="6" t="n">
        <f aca="false">E16-C16</f>
        <v>-11000</v>
      </c>
      <c r="E16" s="5" t="n">
        <v>-71000</v>
      </c>
    </row>
    <row r="17" customFormat="false" ht="22.35" hidden="false" customHeight="false" outlineLevel="0" collapsed="false">
      <c r="A17" s="4" t="s">
        <v>20</v>
      </c>
      <c r="B17" s="4" t="s">
        <v>8</v>
      </c>
      <c r="C17" s="5" t="n">
        <v>640000</v>
      </c>
      <c r="D17" s="6" t="n">
        <f aca="false">E17-C17</f>
        <v>36000</v>
      </c>
      <c r="E17" s="5" t="n">
        <v>676000</v>
      </c>
    </row>
    <row r="18" customFormat="false" ht="15" hidden="false" customHeight="false" outlineLevel="0" collapsed="false">
      <c r="A18" s="4" t="s">
        <v>21</v>
      </c>
      <c r="B18" s="4" t="s">
        <v>8</v>
      </c>
      <c r="C18" s="5" t="n">
        <v>380000</v>
      </c>
      <c r="D18" s="6" t="n">
        <f aca="false">E18-C18</f>
        <v>32000</v>
      </c>
      <c r="E18" s="5" t="n">
        <v>412000</v>
      </c>
    </row>
    <row r="19" customFormat="false" ht="15" hidden="false" customHeight="false" outlineLevel="0" collapsed="false">
      <c r="A19" s="4" t="s">
        <v>22</v>
      </c>
      <c r="B19" s="4" t="s">
        <v>8</v>
      </c>
      <c r="C19" s="5" t="n">
        <v>720000</v>
      </c>
      <c r="D19" s="6" t="n">
        <f aca="false">E19-C19</f>
        <v>24000</v>
      </c>
      <c r="E19" s="5" t="n">
        <v>744000</v>
      </c>
    </row>
    <row r="20" customFormat="false" ht="15" hidden="false" customHeight="false" outlineLevel="0" collapsed="false">
      <c r="A20" s="4" t="s">
        <v>23</v>
      </c>
      <c r="B20" s="4" t="s">
        <v>8</v>
      </c>
      <c r="C20" s="5" t="n">
        <v>150000</v>
      </c>
      <c r="D20" s="6" t="n">
        <f aca="false">E20-C20</f>
        <v>20000</v>
      </c>
      <c r="E20" s="5" t="n">
        <v>170000</v>
      </c>
    </row>
    <row r="21" customFormat="false" ht="15" hidden="false" customHeight="false" outlineLevel="0" collapsed="false">
      <c r="A21" s="4" t="s">
        <v>24</v>
      </c>
      <c r="B21" s="4" t="s">
        <v>8</v>
      </c>
      <c r="C21" s="5" t="n">
        <v>210000</v>
      </c>
      <c r="D21" s="6" t="n">
        <f aca="false">E21-C21</f>
        <v>40000</v>
      </c>
      <c r="E21" s="5" t="n">
        <v>250000</v>
      </c>
    </row>
    <row r="22" customFormat="false" ht="15" hidden="false" customHeight="false" outlineLevel="0" collapsed="false">
      <c r="A22" s="4" t="s">
        <v>25</v>
      </c>
      <c r="B22" s="4" t="s">
        <v>8</v>
      </c>
      <c r="C22" s="5" t="n">
        <v>360000</v>
      </c>
      <c r="D22" s="6" t="n">
        <f aca="false">E22-C22</f>
        <v>72000</v>
      </c>
      <c r="E22" s="5" t="n">
        <v>432000</v>
      </c>
    </row>
    <row r="23" customFormat="false" ht="15" hidden="false" customHeight="false" outlineLevel="0" collapsed="false">
      <c r="A23" s="4" t="s">
        <v>26</v>
      </c>
      <c r="B23" s="4" t="s">
        <v>8</v>
      </c>
      <c r="C23" s="5" t="n">
        <v>120000</v>
      </c>
      <c r="D23" s="6" t="n">
        <f aca="false">E23-C23</f>
        <v>20000</v>
      </c>
      <c r="E23" s="5" t="n">
        <v>140000</v>
      </c>
    </row>
    <row r="24" customFormat="false" ht="15" hidden="false" customHeight="false" outlineLevel="0" collapsed="false">
      <c r="A24" s="4" t="s">
        <v>27</v>
      </c>
      <c r="B24" s="4" t="s">
        <v>8</v>
      </c>
      <c r="C24" s="5" t="n">
        <v>-1180000</v>
      </c>
      <c r="D24" s="6" t="n">
        <f aca="false">E24-C24</f>
        <v>-383439.71</v>
      </c>
      <c r="E24" s="5" t="n">
        <v>-1563439.71</v>
      </c>
    </row>
    <row r="25" customFormat="false" ht="15" hidden="false" customHeight="false" outlineLevel="0" collapsed="false">
      <c r="A25" s="4" t="s">
        <v>28</v>
      </c>
      <c r="B25" s="4" t="s">
        <v>8</v>
      </c>
      <c r="C25" s="5" t="n">
        <v>900000</v>
      </c>
      <c r="D25" s="6" t="n">
        <f aca="false">E25-C25</f>
        <v>-127000</v>
      </c>
      <c r="E25" s="5" t="n">
        <v>773000</v>
      </c>
    </row>
    <row r="26" customFormat="false" ht="22.35" hidden="false" customHeight="false" outlineLevel="0" collapsed="false">
      <c r="A26" s="4" t="s">
        <v>29</v>
      </c>
      <c r="B26" s="4" t="s">
        <v>8</v>
      </c>
      <c r="C26" s="5" t="n">
        <v>460000</v>
      </c>
      <c r="D26" s="6" t="n">
        <f aca="false">E26-C26</f>
        <v>-130000</v>
      </c>
      <c r="E26" s="5" t="n">
        <v>330000</v>
      </c>
    </row>
    <row r="27" customFormat="false" ht="15" hidden="false" customHeight="false" outlineLevel="0" collapsed="false">
      <c r="A27" s="4" t="s">
        <v>30</v>
      </c>
      <c r="B27" s="4" t="s">
        <v>8</v>
      </c>
      <c r="C27" s="5" t="n">
        <v>300000</v>
      </c>
      <c r="D27" s="6" t="n">
        <f aca="false">E27-C27</f>
        <v>-60000</v>
      </c>
      <c r="E27" s="5" t="n">
        <v>240000</v>
      </c>
    </row>
    <row r="28" customFormat="false" ht="15" hidden="false" customHeight="false" outlineLevel="0" collapsed="false">
      <c r="A28" s="4" t="s">
        <v>31</v>
      </c>
      <c r="B28" s="4" t="s">
        <v>8</v>
      </c>
      <c r="C28" s="5" t="n">
        <v>-90000</v>
      </c>
      <c r="D28" s="6" t="n">
        <f aca="false">E28-C28</f>
        <v>-60000</v>
      </c>
      <c r="E28" s="5" t="n">
        <v>-150000</v>
      </c>
    </row>
    <row r="29" customFormat="false" ht="15" hidden="false" customHeight="false" outlineLevel="0" collapsed="false">
      <c r="A29" s="4" t="s">
        <v>32</v>
      </c>
      <c r="B29" s="4" t="s">
        <v>33</v>
      </c>
      <c r="C29" s="5" t="n">
        <v>-560000</v>
      </c>
      <c r="D29" s="6" t="n">
        <f aca="false">E29-C29</f>
        <v>20000</v>
      </c>
      <c r="E29" s="5" t="n">
        <v>-540000</v>
      </c>
    </row>
    <row r="30" customFormat="false" ht="15" hidden="false" customHeight="false" outlineLevel="0" collapsed="false">
      <c r="A30" s="4" t="s">
        <v>34</v>
      </c>
      <c r="B30" s="4" t="s">
        <v>33</v>
      </c>
      <c r="C30" s="5" t="n">
        <v>-300000</v>
      </c>
      <c r="D30" s="6" t="n">
        <f aca="false">E30-C30</f>
        <v>86000</v>
      </c>
      <c r="E30" s="5" t="n">
        <v>-214000</v>
      </c>
    </row>
    <row r="31" customFormat="false" ht="15" hidden="false" customHeight="false" outlineLevel="0" collapsed="false">
      <c r="A31" s="4" t="s">
        <v>35</v>
      </c>
      <c r="B31" s="4" t="s">
        <v>33</v>
      </c>
      <c r="C31" s="5" t="n">
        <v>-48000</v>
      </c>
      <c r="D31" s="6" t="n">
        <f aca="false">E31-C31</f>
        <v>-13500</v>
      </c>
      <c r="E31" s="5" t="n">
        <v>-61500</v>
      </c>
    </row>
    <row r="32" customFormat="false" ht="15" hidden="false" customHeight="false" outlineLevel="0" collapsed="false">
      <c r="A32" s="4" t="s">
        <v>36</v>
      </c>
      <c r="B32" s="4" t="s">
        <v>33</v>
      </c>
      <c r="C32" s="5" t="n">
        <v>-70000</v>
      </c>
      <c r="D32" s="6" t="n">
        <f aca="false">E32-C32</f>
        <v>18000</v>
      </c>
      <c r="E32" s="5" t="n">
        <v>-52000</v>
      </c>
    </row>
    <row r="33" customFormat="false" ht="15" hidden="false" customHeight="false" outlineLevel="0" collapsed="false">
      <c r="A33" s="4" t="s">
        <v>37</v>
      </c>
      <c r="B33" s="4" t="s">
        <v>33</v>
      </c>
      <c r="C33" s="5" t="n">
        <v>-18000</v>
      </c>
      <c r="D33" s="6" t="n">
        <f aca="false">E33-C33</f>
        <v>-8000</v>
      </c>
      <c r="E33" s="5" t="n">
        <v>-26000</v>
      </c>
    </row>
    <row r="34" customFormat="false" ht="15" hidden="false" customHeight="false" outlineLevel="0" collapsed="false">
      <c r="A34" s="4" t="s">
        <v>38</v>
      </c>
      <c r="B34" s="4" t="s">
        <v>33</v>
      </c>
      <c r="C34" s="5" t="n">
        <v>-22000</v>
      </c>
      <c r="D34" s="6" t="n">
        <f aca="false">E34-C34</f>
        <v>-2000</v>
      </c>
      <c r="E34" s="5" t="n">
        <v>-24000</v>
      </c>
    </row>
    <row r="35" customFormat="false" ht="15" hidden="false" customHeight="false" outlineLevel="0" collapsed="false">
      <c r="A35" s="4" t="s">
        <v>39</v>
      </c>
      <c r="B35" s="4" t="s">
        <v>33</v>
      </c>
      <c r="C35" s="5" t="n">
        <v>-40000</v>
      </c>
      <c r="D35" s="6" t="n">
        <f aca="false">E35-C35</f>
        <v>28091</v>
      </c>
      <c r="E35" s="5" t="n">
        <v>-11909</v>
      </c>
    </row>
    <row r="36" customFormat="false" ht="15" hidden="false" customHeight="false" outlineLevel="0" collapsed="false">
      <c r="A36" s="4" t="s">
        <v>40</v>
      </c>
      <c r="B36" s="4" t="s">
        <v>33</v>
      </c>
      <c r="C36" s="5" t="n">
        <v>-130000</v>
      </c>
      <c r="D36" s="6" t="n">
        <f aca="false">E36-C36</f>
        <v>-30000</v>
      </c>
      <c r="E36" s="5" t="n">
        <v>-160000</v>
      </c>
    </row>
    <row r="37" customFormat="false" ht="15" hidden="false" customHeight="false" outlineLevel="0" collapsed="false">
      <c r="A37" s="4" t="s">
        <v>41</v>
      </c>
      <c r="B37" s="4" t="s">
        <v>33</v>
      </c>
      <c r="C37" s="5" t="n">
        <v>-35000</v>
      </c>
      <c r="D37" s="6" t="n">
        <f aca="false">E37-C37</f>
        <v>-15000</v>
      </c>
      <c r="E37" s="5" t="n">
        <v>-50000</v>
      </c>
    </row>
    <row r="38" customFormat="false" ht="15" hidden="false" customHeight="false" outlineLevel="0" collapsed="false">
      <c r="A38" s="4" t="s">
        <v>42</v>
      </c>
      <c r="B38" s="4" t="s">
        <v>33</v>
      </c>
      <c r="C38" s="5" t="n">
        <v>-90000</v>
      </c>
      <c r="D38" s="6" t="n">
        <f aca="false">E38-C38</f>
        <v>20000</v>
      </c>
      <c r="E38" s="5" t="n">
        <v>-70000</v>
      </c>
    </row>
    <row r="39" customFormat="false" ht="15" hidden="false" customHeight="false" outlineLevel="0" collapsed="false">
      <c r="A39" s="4" t="s">
        <v>43</v>
      </c>
      <c r="B39" s="4" t="s">
        <v>33</v>
      </c>
      <c r="C39" s="5" t="n">
        <v>-60000</v>
      </c>
      <c r="D39" s="6" t="n">
        <f aca="false">E39-C39</f>
        <v>-31000</v>
      </c>
      <c r="E39" s="5" t="n">
        <v>-91000</v>
      </c>
    </row>
    <row r="40" customFormat="false" ht="15" hidden="false" customHeight="false" outlineLevel="0" collapsed="false">
      <c r="A40" s="4" t="s">
        <v>44</v>
      </c>
      <c r="B40" s="4" t="s">
        <v>33</v>
      </c>
      <c r="C40" s="5" t="n">
        <v>-153817</v>
      </c>
      <c r="D40" s="6" t="n">
        <f aca="false">E40-C40</f>
        <v>-88000</v>
      </c>
      <c r="E40" s="5" t="n">
        <v>-241817</v>
      </c>
    </row>
    <row r="41" customFormat="false" ht="15" hidden="false" customHeight="false" outlineLevel="0" collapsed="false">
      <c r="A41" s="4" t="s">
        <v>45</v>
      </c>
      <c r="B41" s="4" t="s">
        <v>33</v>
      </c>
      <c r="C41" s="5" t="n">
        <v>-756183</v>
      </c>
      <c r="D41" s="6" t="n">
        <f aca="false">E41-C41</f>
        <v>120000</v>
      </c>
      <c r="E41" s="5" t="n">
        <v>-636183</v>
      </c>
    </row>
    <row r="42" customFormat="false" ht="15" hidden="false" customHeight="false" outlineLevel="0" collapsed="false">
      <c r="A42" s="4" t="s">
        <v>46</v>
      </c>
      <c r="B42" s="4" t="s">
        <v>33</v>
      </c>
      <c r="C42" s="5" t="n">
        <v>-97566</v>
      </c>
      <c r="D42" s="6" t="n">
        <f aca="false">E42-C42</f>
        <v>-20000</v>
      </c>
      <c r="E42" s="5" t="n">
        <v>-117566</v>
      </c>
    </row>
    <row r="43" customFormat="false" ht="15" hidden="false" customHeight="false" outlineLevel="0" collapsed="false">
      <c r="A43" s="4" t="s">
        <v>47</v>
      </c>
      <c r="B43" s="4" t="s">
        <v>33</v>
      </c>
      <c r="C43" s="5" t="n">
        <v>-356558.85</v>
      </c>
      <c r="D43" s="6" t="n">
        <f aca="false">E43-C43</f>
        <v>190000</v>
      </c>
      <c r="E43" s="5" t="n">
        <v>-166558.85</v>
      </c>
    </row>
    <row r="44" customFormat="false" ht="15" hidden="false" customHeight="false" outlineLevel="0" collapsed="false">
      <c r="A44" s="4" t="s">
        <v>48</v>
      </c>
      <c r="B44" s="4" t="s">
        <v>33</v>
      </c>
      <c r="C44" s="5" t="n">
        <v>-300000</v>
      </c>
      <c r="D44" s="6" t="n">
        <f aca="false">E44-C44</f>
        <v>51000</v>
      </c>
      <c r="E44" s="5" t="n">
        <v>-249000</v>
      </c>
    </row>
    <row r="45" customFormat="false" ht="15" hidden="false" customHeight="false" outlineLevel="0" collapsed="false">
      <c r="A45" s="4" t="s">
        <v>49</v>
      </c>
      <c r="B45" s="4" t="s">
        <v>50</v>
      </c>
      <c r="C45" s="5" t="n">
        <v>-742000</v>
      </c>
      <c r="D45" s="6" t="n">
        <f aca="false">E45-C45</f>
        <v>0</v>
      </c>
      <c r="E45" s="5" t="n">
        <v>-742000</v>
      </c>
    </row>
    <row r="46" customFormat="false" ht="15" hidden="false" customHeight="false" outlineLevel="0" collapsed="false">
      <c r="A46" s="4" t="s">
        <v>51</v>
      </c>
      <c r="B46" s="4" t="s">
        <v>50</v>
      </c>
      <c r="C46" s="5" t="n">
        <v>-445200</v>
      </c>
      <c r="D46" s="6" t="n">
        <f aca="false">E46-C46</f>
        <v>0</v>
      </c>
      <c r="E46" s="5" t="n">
        <v>-445200</v>
      </c>
    </row>
    <row r="47" customFormat="false" ht="15" hidden="false" customHeight="false" outlineLevel="0" collapsed="false">
      <c r="A47" s="4" t="s">
        <v>52</v>
      </c>
      <c r="B47" s="4" t="s">
        <v>50</v>
      </c>
      <c r="C47" s="5" t="n">
        <v>-297200</v>
      </c>
      <c r="D47" s="6" t="n">
        <f aca="false">E47-C47</f>
        <v>0</v>
      </c>
      <c r="E47" s="5" t="n">
        <v>-297200</v>
      </c>
    </row>
    <row r="48" customFormat="false" ht="15" hidden="false" customHeight="false" outlineLevel="0" collapsed="false">
      <c r="A48" s="4" t="s">
        <v>53</v>
      </c>
      <c r="B48" s="4" t="s">
        <v>50</v>
      </c>
      <c r="C48" s="5" t="n">
        <v>0</v>
      </c>
      <c r="D48" s="6" t="n">
        <f aca="false">E48-C48</f>
        <v>720000</v>
      </c>
      <c r="E48" s="5" t="n">
        <v>720000</v>
      </c>
    </row>
    <row r="49" customFormat="false" ht="15" hidden="false" customHeight="false" outlineLevel="0" collapsed="false">
      <c r="A49" s="4" t="s">
        <v>54</v>
      </c>
      <c r="B49" s="4" t="s">
        <v>50</v>
      </c>
      <c r="C49" s="5" t="n">
        <v>-1530475.15</v>
      </c>
      <c r="D49" s="6" t="n">
        <f aca="false">E49-C49</f>
        <v>-150915.75</v>
      </c>
      <c r="E49" s="5" t="n">
        <v>-1681390.9</v>
      </c>
    </row>
    <row r="50" customFormat="false" ht="15" hidden="false" customHeight="false" outlineLevel="0" collapsed="false">
      <c r="A50" s="4" t="s">
        <v>55</v>
      </c>
      <c r="B50" s="4" t="s">
        <v>56</v>
      </c>
      <c r="C50" s="5" t="n">
        <v>0</v>
      </c>
      <c r="D50" s="6" t="n">
        <f aca="false">E50-C50</f>
        <v>-4284000</v>
      </c>
      <c r="E50" s="5" t="n">
        <v>-4284000</v>
      </c>
    </row>
    <row r="51" customFormat="false" ht="15" hidden="false" customHeight="false" outlineLevel="0" collapsed="false">
      <c r="A51" s="4" t="s">
        <v>57</v>
      </c>
      <c r="B51" s="4" t="s">
        <v>56</v>
      </c>
      <c r="C51" s="5" t="n">
        <v>0</v>
      </c>
      <c r="D51" s="6" t="n">
        <f aca="false">E51-C51</f>
        <v>-2700000</v>
      </c>
      <c r="E51" s="5" t="n">
        <v>-2700000</v>
      </c>
    </row>
    <row r="52" customFormat="false" ht="15" hidden="false" customHeight="false" outlineLevel="0" collapsed="false">
      <c r="A52" s="4" t="s">
        <v>58</v>
      </c>
      <c r="B52" s="4" t="s">
        <v>56</v>
      </c>
      <c r="C52" s="5" t="n">
        <v>0</v>
      </c>
      <c r="D52" s="6" t="n">
        <f aca="false">E52-C52</f>
        <v>-1618360</v>
      </c>
      <c r="E52" s="5" t="n">
        <v>-1618360</v>
      </c>
    </row>
    <row r="53" customFormat="false" ht="15" hidden="false" customHeight="false" outlineLevel="0" collapsed="false">
      <c r="A53" s="4" t="s">
        <v>59</v>
      </c>
      <c r="B53" s="4" t="s">
        <v>56</v>
      </c>
      <c r="C53" s="5" t="n">
        <v>0</v>
      </c>
      <c r="D53" s="6" t="n">
        <f aca="false">E53-C53</f>
        <v>-1080000</v>
      </c>
      <c r="E53" s="5" t="n">
        <v>-1080000</v>
      </c>
    </row>
    <row r="54" customFormat="false" ht="15" hidden="false" customHeight="false" outlineLevel="0" collapsed="false">
      <c r="A54" s="4" t="s">
        <v>60</v>
      </c>
      <c r="B54" s="4" t="s">
        <v>56</v>
      </c>
      <c r="C54" s="5" t="n">
        <v>0</v>
      </c>
      <c r="D54" s="6" t="n">
        <f aca="false">E54-C54</f>
        <v>-1120000</v>
      </c>
      <c r="E54" s="5" t="n">
        <v>-1120000</v>
      </c>
    </row>
    <row r="55" customFormat="false" ht="15" hidden="false" customHeight="false" outlineLevel="0" collapsed="false">
      <c r="A55" s="4" t="s">
        <v>61</v>
      </c>
      <c r="B55" s="4" t="s">
        <v>56</v>
      </c>
      <c r="C55" s="5" t="n">
        <v>0</v>
      </c>
      <c r="D55" s="6" t="n">
        <f aca="false">E55-C55</f>
        <v>79200</v>
      </c>
      <c r="E55" s="5" t="n">
        <v>79200</v>
      </c>
    </row>
    <row r="56" customFormat="false" ht="15" hidden="false" customHeight="false" outlineLevel="0" collapsed="false">
      <c r="A56" s="4" t="s">
        <v>62</v>
      </c>
      <c r="B56" s="4" t="s">
        <v>56</v>
      </c>
      <c r="C56" s="5" t="n">
        <v>0</v>
      </c>
      <c r="D56" s="6" t="n">
        <f aca="false">E56-C56</f>
        <v>-162000</v>
      </c>
      <c r="E56" s="5" t="n">
        <v>-162000</v>
      </c>
    </row>
    <row r="57" customFormat="false" ht="15" hidden="false" customHeight="false" outlineLevel="0" collapsed="false">
      <c r="A57" s="4" t="s">
        <v>63</v>
      </c>
      <c r="B57" s="4" t="s">
        <v>64</v>
      </c>
      <c r="C57" s="5" t="n">
        <v>0</v>
      </c>
      <c r="D57" s="6" t="n">
        <f aca="false">E57-C57</f>
        <v>3010000</v>
      </c>
      <c r="E57" s="5" t="n">
        <v>3010000</v>
      </c>
    </row>
    <row r="58" customFormat="false" ht="15" hidden="false" customHeight="false" outlineLevel="0" collapsed="false">
      <c r="A58" s="4" t="s">
        <v>65</v>
      </c>
      <c r="B58" s="4" t="s">
        <v>64</v>
      </c>
      <c r="C58" s="5" t="n">
        <v>0</v>
      </c>
      <c r="D58" s="6" t="n">
        <f aca="false">E58-C58</f>
        <v>1915000</v>
      </c>
      <c r="E58" s="5" t="n">
        <v>1915000</v>
      </c>
    </row>
    <row r="59" customFormat="false" ht="15" hidden="false" customHeight="false" outlineLevel="0" collapsed="false">
      <c r="A59" s="4" t="s">
        <v>66</v>
      </c>
      <c r="B59" s="4" t="s">
        <v>64</v>
      </c>
      <c r="C59" s="5" t="n">
        <v>0</v>
      </c>
      <c r="D59" s="6" t="n">
        <f aca="false">E59-C59</f>
        <v>1170000</v>
      </c>
      <c r="E59" s="5" t="n">
        <v>1170000</v>
      </c>
    </row>
    <row r="60" customFormat="false" ht="15" hidden="false" customHeight="false" outlineLevel="0" collapsed="false">
      <c r="A60" s="4" t="s">
        <v>67</v>
      </c>
      <c r="B60" s="4" t="s">
        <v>64</v>
      </c>
      <c r="C60" s="5" t="n">
        <v>0</v>
      </c>
      <c r="D60" s="6" t="n">
        <f aca="false">E60-C60</f>
        <v>790000</v>
      </c>
      <c r="E60" s="5" t="n">
        <v>790000</v>
      </c>
    </row>
    <row r="61" customFormat="false" ht="15" hidden="false" customHeight="false" outlineLevel="0" collapsed="false">
      <c r="A61" s="4" t="s">
        <v>68</v>
      </c>
      <c r="B61" s="4" t="s">
        <v>64</v>
      </c>
      <c r="C61" s="5" t="n">
        <v>0</v>
      </c>
      <c r="D61" s="6" t="n">
        <f aca="false">E61-C61</f>
        <v>760000</v>
      </c>
      <c r="E61" s="5" t="n">
        <v>760000</v>
      </c>
    </row>
    <row r="62" customFormat="false" ht="15" hidden="false" customHeight="false" outlineLevel="0" collapsed="false">
      <c r="A62" s="4" t="s">
        <v>69</v>
      </c>
      <c r="B62" s="4" t="s">
        <v>64</v>
      </c>
      <c r="C62" s="5" t="n">
        <v>0</v>
      </c>
      <c r="D62" s="6" t="n">
        <f aca="false">E62-C62</f>
        <v>86000</v>
      </c>
      <c r="E62" s="5" t="n">
        <v>86000</v>
      </c>
    </row>
    <row r="63" customFormat="false" ht="15" hidden="false" customHeight="false" outlineLevel="0" collapsed="false">
      <c r="A63" s="4" t="s">
        <v>70</v>
      </c>
      <c r="B63" s="4" t="s">
        <v>64</v>
      </c>
      <c r="C63" s="5" t="n">
        <v>0</v>
      </c>
      <c r="D63" s="6" t="n">
        <f aca="false">E63-C63</f>
        <v>-108000</v>
      </c>
      <c r="E63" s="5" t="n">
        <v>-108000</v>
      </c>
    </row>
    <row r="64" customFormat="false" ht="15" hidden="false" customHeight="false" outlineLevel="0" collapsed="false">
      <c r="A64" s="4" t="s">
        <v>71</v>
      </c>
      <c r="B64" s="4" t="s">
        <v>64</v>
      </c>
      <c r="C64" s="5" t="n">
        <v>0</v>
      </c>
      <c r="D64" s="6" t="n">
        <f aca="false">E64-C64</f>
        <v>49800</v>
      </c>
      <c r="E64" s="5" t="n">
        <v>49800</v>
      </c>
    </row>
    <row r="65" customFormat="false" ht="15" hidden="false" customHeight="false" outlineLevel="0" collapsed="false">
      <c r="A65" s="4" t="s">
        <v>72</v>
      </c>
      <c r="B65" s="4" t="s">
        <v>73</v>
      </c>
      <c r="C65" s="5" t="n">
        <v>0</v>
      </c>
      <c r="D65" s="6" t="n">
        <f aca="false">E65-C65</f>
        <v>424000</v>
      </c>
      <c r="E65" s="5" t="n">
        <v>424000</v>
      </c>
    </row>
    <row r="66" customFormat="false" ht="15" hidden="false" customHeight="false" outlineLevel="0" collapsed="false">
      <c r="A66" s="4" t="s">
        <v>74</v>
      </c>
      <c r="B66" s="4" t="s">
        <v>73</v>
      </c>
      <c r="C66" s="5" t="n">
        <v>0</v>
      </c>
      <c r="D66" s="6" t="n">
        <f aca="false">E66-C66</f>
        <v>198000</v>
      </c>
      <c r="E66" s="5" t="n">
        <v>198000</v>
      </c>
    </row>
    <row r="67" customFormat="false" ht="15" hidden="false" customHeight="false" outlineLevel="0" collapsed="false">
      <c r="A67" s="4" t="s">
        <v>75</v>
      </c>
      <c r="B67" s="4" t="s">
        <v>73</v>
      </c>
      <c r="C67" s="5" t="n">
        <v>0</v>
      </c>
      <c r="D67" s="6" t="n">
        <f aca="false">E67-C67</f>
        <v>300000</v>
      </c>
      <c r="E67" s="5" t="n">
        <v>300000</v>
      </c>
    </row>
    <row r="68" customFormat="false" ht="15" hidden="false" customHeight="false" outlineLevel="0" collapsed="false">
      <c r="A68" s="4" t="s">
        <v>76</v>
      </c>
      <c r="B68" s="4" t="s">
        <v>73</v>
      </c>
      <c r="C68" s="5" t="n">
        <v>0</v>
      </c>
      <c r="D68" s="6" t="n">
        <f aca="false">E68-C68</f>
        <v>268000</v>
      </c>
      <c r="E68" s="5" t="n">
        <v>268000</v>
      </c>
    </row>
    <row r="69" customFormat="false" ht="15" hidden="false" customHeight="false" outlineLevel="0" collapsed="false">
      <c r="A69" s="4" t="s">
        <v>77</v>
      </c>
      <c r="B69" s="4" t="s">
        <v>73</v>
      </c>
      <c r="C69" s="5" t="n">
        <v>0</v>
      </c>
      <c r="D69" s="6" t="n">
        <f aca="false">E69-C69</f>
        <v>104000</v>
      </c>
      <c r="E69" s="5" t="n">
        <v>104000</v>
      </c>
    </row>
    <row r="70" customFormat="false" ht="15" hidden="false" customHeight="false" outlineLevel="0" collapsed="false">
      <c r="A70" s="4" t="s">
        <v>78</v>
      </c>
      <c r="B70" s="4" t="s">
        <v>73</v>
      </c>
      <c r="C70" s="5" t="n">
        <v>0</v>
      </c>
      <c r="D70" s="6" t="n">
        <f aca="false">E70-C70</f>
        <v>112000</v>
      </c>
      <c r="E70" s="5" t="n">
        <v>112000</v>
      </c>
    </row>
    <row r="71" customFormat="false" ht="15" hidden="false" customHeight="false" outlineLevel="0" collapsed="false">
      <c r="A71" s="4" t="s">
        <v>79</v>
      </c>
      <c r="B71" s="4" t="s">
        <v>73</v>
      </c>
      <c r="C71" s="5" t="n">
        <v>0</v>
      </c>
      <c r="D71" s="6" t="n">
        <f aca="false">E71-C71</f>
        <v>84000</v>
      </c>
      <c r="E71" s="5" t="n">
        <v>84000</v>
      </c>
    </row>
    <row r="72" customFormat="false" ht="15" hidden="false" customHeight="false" outlineLevel="0" collapsed="false">
      <c r="A72" s="4" t="s">
        <v>80</v>
      </c>
      <c r="B72" s="4" t="s">
        <v>73</v>
      </c>
      <c r="C72" s="5" t="n">
        <v>0</v>
      </c>
      <c r="D72" s="6" t="n">
        <f aca="false">E72-C72</f>
        <v>28000</v>
      </c>
      <c r="E72" s="5" t="n">
        <v>28000</v>
      </c>
    </row>
    <row r="73" customFormat="false" ht="15" hidden="false" customHeight="false" outlineLevel="0" collapsed="false">
      <c r="A73" s="4" t="s">
        <v>81</v>
      </c>
      <c r="B73" s="4" t="s">
        <v>73</v>
      </c>
      <c r="C73" s="5" t="n">
        <v>0</v>
      </c>
      <c r="D73" s="6" t="n">
        <f aca="false">E73-C73</f>
        <v>59500</v>
      </c>
      <c r="E73" s="5" t="n">
        <v>59500</v>
      </c>
    </row>
    <row r="74" customFormat="false" ht="15" hidden="false" customHeight="false" outlineLevel="0" collapsed="false">
      <c r="A74" s="4" t="s">
        <v>82</v>
      </c>
      <c r="B74" s="4" t="s">
        <v>73</v>
      </c>
      <c r="C74" s="5" t="n">
        <v>0</v>
      </c>
      <c r="D74" s="6" t="n">
        <f aca="false">E74-C74</f>
        <v>134000</v>
      </c>
      <c r="E74" s="5" t="n">
        <v>134000</v>
      </c>
    </row>
    <row r="75" customFormat="false" ht="15" hidden="false" customHeight="false" outlineLevel="0" collapsed="false">
      <c r="A75" s="4" t="s">
        <v>83</v>
      </c>
      <c r="B75" s="4" t="s">
        <v>73</v>
      </c>
      <c r="C75" s="5" t="n">
        <v>0</v>
      </c>
      <c r="D75" s="6" t="n">
        <f aca="false">E75-C75</f>
        <v>108000</v>
      </c>
      <c r="E75" s="5" t="n">
        <v>108000</v>
      </c>
    </row>
    <row r="76" customFormat="false" ht="15" hidden="false" customHeight="false" outlineLevel="0" collapsed="false">
      <c r="A76" s="4" t="s">
        <v>84</v>
      </c>
      <c r="B76" s="4" t="s">
        <v>73</v>
      </c>
      <c r="C76" s="5" t="n">
        <v>0</v>
      </c>
      <c r="D76" s="6" t="n">
        <f aca="false">E76-C76</f>
        <v>76000</v>
      </c>
      <c r="E76" s="5" t="n">
        <v>76000</v>
      </c>
    </row>
    <row r="77" customFormat="false" ht="15" hidden="false" customHeight="false" outlineLevel="0" collapsed="false">
      <c r="A77" s="4" t="s">
        <v>85</v>
      </c>
      <c r="B77" s="4" t="s">
        <v>73</v>
      </c>
      <c r="C77" s="5" t="n">
        <v>0</v>
      </c>
      <c r="D77" s="6" t="n">
        <f aca="false">E77-C77</f>
        <v>53000</v>
      </c>
      <c r="E77" s="5" t="n">
        <v>53000</v>
      </c>
    </row>
    <row r="78" customFormat="false" ht="15" hidden="false" customHeight="false" outlineLevel="0" collapsed="false">
      <c r="A78" s="4" t="s">
        <v>86</v>
      </c>
      <c r="B78" s="4" t="s">
        <v>73</v>
      </c>
      <c r="C78" s="5" t="n">
        <v>0</v>
      </c>
      <c r="D78" s="6" t="n">
        <f aca="false">E78-C78</f>
        <v>36180</v>
      </c>
      <c r="E78" s="5" t="n">
        <v>36180</v>
      </c>
    </row>
    <row r="79" customFormat="false" ht="15" hidden="false" customHeight="false" outlineLevel="0" collapsed="false">
      <c r="A79" s="4" t="s">
        <v>87</v>
      </c>
      <c r="B79" s="4" t="s">
        <v>73</v>
      </c>
      <c r="C79" s="5" t="n">
        <v>0</v>
      </c>
      <c r="D79" s="6" t="n">
        <f aca="false">E79-C79</f>
        <v>251355.46</v>
      </c>
      <c r="E79" s="5" t="n">
        <v>251355.46</v>
      </c>
    </row>
    <row r="80" customFormat="false" ht="15" hidden="false" customHeight="false" outlineLevel="0" collapsed="false">
      <c r="A80" s="4" t="s">
        <v>88</v>
      </c>
      <c r="B80" s="4" t="s">
        <v>73</v>
      </c>
      <c r="C80" s="5" t="n">
        <v>0</v>
      </c>
      <c r="D80" s="6" t="n">
        <f aca="false">E80-C80</f>
        <v>60000</v>
      </c>
      <c r="E80" s="5" t="n">
        <v>60000</v>
      </c>
    </row>
    <row r="81" customFormat="false" ht="15" hidden="false" customHeight="false" outlineLevel="0" collapsed="false">
      <c r="A81" s="4" t="s">
        <v>89</v>
      </c>
      <c r="B81" s="4" t="s">
        <v>73</v>
      </c>
      <c r="C81" s="5" t="n">
        <v>0</v>
      </c>
      <c r="D81" s="6" t="n">
        <f aca="false">E81-C81</f>
        <v>133000</v>
      </c>
      <c r="E81" s="5" t="n">
        <v>133000</v>
      </c>
    </row>
    <row r="82" customFormat="false" ht="15" hidden="false" customHeight="false" outlineLevel="0" collapsed="false">
      <c r="A82" s="4" t="s">
        <v>90</v>
      </c>
      <c r="B82" s="4" t="s">
        <v>73</v>
      </c>
      <c r="C82" s="5" t="n">
        <v>0</v>
      </c>
      <c r="D82" s="6" t="n">
        <f aca="false">E82-C82</f>
        <v>70000</v>
      </c>
      <c r="E82" s="5" t="n">
        <v>70000</v>
      </c>
    </row>
    <row r="83" customFormat="false" ht="15" hidden="false" customHeight="false" outlineLevel="0" collapsed="false">
      <c r="A83" s="4" t="s">
        <v>91</v>
      </c>
      <c r="B83" s="4" t="s">
        <v>73</v>
      </c>
      <c r="C83" s="5" t="n">
        <v>0</v>
      </c>
      <c r="D83" s="6" t="n">
        <f aca="false">E83-C83</f>
        <v>16800</v>
      </c>
      <c r="E83" s="5" t="n">
        <v>16800</v>
      </c>
    </row>
    <row r="84" customFormat="false" ht="15" hidden="false" customHeight="false" outlineLevel="0" collapsed="false">
      <c r="A84" s="4" t="s">
        <v>92</v>
      </c>
      <c r="B84" s="4" t="s">
        <v>93</v>
      </c>
      <c r="C84" s="5" t="n">
        <v>0</v>
      </c>
      <c r="D84" s="6" t="n">
        <f aca="false">E84-C84</f>
        <v>33938</v>
      </c>
      <c r="E84" s="5" t="n">
        <v>33938</v>
      </c>
    </row>
    <row r="85" customFormat="false" ht="15" hidden="false" customHeight="false" outlineLevel="0" collapsed="false">
      <c r="A85" s="4" t="s">
        <v>94</v>
      </c>
      <c r="B85" s="4" t="s">
        <v>93</v>
      </c>
      <c r="C85" s="5" t="n">
        <v>0</v>
      </c>
      <c r="D85" s="6" t="n">
        <f aca="false">E85-C85</f>
        <v>27000</v>
      </c>
      <c r="E85" s="5" t="n">
        <v>27000</v>
      </c>
    </row>
    <row r="86" customFormat="false" ht="15" hidden="false" customHeight="false" outlineLevel="0" collapsed="false">
      <c r="A86" s="4" t="s">
        <v>95</v>
      </c>
      <c r="B86" s="4" t="s">
        <v>93</v>
      </c>
      <c r="C86" s="5" t="n">
        <v>0</v>
      </c>
      <c r="D86" s="6" t="n">
        <f aca="false">E86-C86</f>
        <v>8000</v>
      </c>
      <c r="E86" s="5" t="n">
        <v>8000</v>
      </c>
    </row>
    <row r="87" customFormat="false" ht="15" hidden="false" customHeight="false" outlineLevel="0" collapsed="false">
      <c r="A87" s="4" t="s">
        <v>96</v>
      </c>
      <c r="B87" s="4" t="s">
        <v>93</v>
      </c>
      <c r="C87" s="5" t="n">
        <v>0</v>
      </c>
      <c r="D87" s="6" t="n">
        <f aca="false">E87-C87</f>
        <v>3500</v>
      </c>
      <c r="E87" s="5" t="n">
        <v>3500</v>
      </c>
    </row>
    <row r="88" customFormat="false" ht="15" hidden="false" customHeight="false" outlineLevel="0" collapsed="false">
      <c r="A88" s="4" t="s">
        <v>97</v>
      </c>
      <c r="B88" s="4" t="s">
        <v>93</v>
      </c>
      <c r="C88" s="5" t="n">
        <v>0</v>
      </c>
      <c r="D88" s="6" t="n">
        <f aca="false">E88-C88</f>
        <v>-120000</v>
      </c>
      <c r="E88" s="5" t="n">
        <v>-120000</v>
      </c>
    </row>
    <row r="89" customFormat="false" ht="15" hidden="false" customHeight="false" outlineLevel="0" collapsed="false">
      <c r="A89" s="7" t="s">
        <v>98</v>
      </c>
      <c r="B89" s="8"/>
      <c r="C89" s="9" t="n">
        <f aca="false">SUM(C5:C88)</f>
        <v>1.16415321826935E-010</v>
      </c>
      <c r="D89" s="9" t="n">
        <f aca="false">SUM(D5:D88)</f>
        <v>0</v>
      </c>
      <c r="E89" s="9" t="n">
        <f aca="false">SUM(E5:E88)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2026-06-17T11:20:56Z</dcterms:created>
  <dc:creator>openpyxl</dc:creator>
  <dc:description/>
  <dc:language>en-US</dc:language>
  <cp:lastModifiedBy/>
  <dcterms:modified xsi:type="dcterms:W3CDTF">2026-06-17T11:20:56Z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