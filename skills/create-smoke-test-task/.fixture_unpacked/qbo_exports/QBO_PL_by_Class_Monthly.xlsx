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<sst xmlns="http://schemas.openxmlformats.org/spreadsheetml/2006/main" count="22" uniqueCount="22">
  <si>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Atlas Trade Provisions LLC — Profit &amp; Loss by Month</t>
  </si>
  <si>
    <t xml:space="preserve">January – December 2024 · Pre-adjustment · Accrual basis · All months posted</t>
  </si>
  <si>
    <t xml:space="preserve">Line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</si>
  <si>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</si>
  <si>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</si>
  <si>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</si>
  <si>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</si>
  <si>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</si>
  <si>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</si>
  <si>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</si>
  <si>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</si>
  <si>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</si>
  <si>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</si>
  <si>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</si>
  <si>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</si>
  <si>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</si>
  <si>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Net Revenue</t>
  </si>
  <si>
    <t xml:space="preserve">COGS</t>
  </si>
  <si>
    <t xml:space="preserve">Gross Profit</t>
  </si>
  <si>
    <t xml:space="preserve">Operating Expenses</t>
  </si>
  <si>
    <t xml:space="preserve">Net Operating Income</t>
  </si>
  <si>
    <t xml:space="preserve">Monthly view is pre-adjustment. Year-end adjusting entries are posted at close and are not reflected in the monthly columns.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</si>
</sst>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0"/>
    <col collapsed="false" customWidth="true" hidden="false" outlineLevel="0" max="14" min="14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783731.52</v>
      </c>
      <c r="C5" s="5" t="n">
        <v>761961.2</v>
      </c>
      <c r="D5" s="5" t="n">
        <v>849042.48</v>
      </c>
      <c r="E5" s="5" t="n">
        <v>870812.8</v>
      </c>
      <c r="F5" s="5" t="n">
        <v>925238.6</v>
      </c>
      <c r="G5" s="5" t="n">
        <v>892583.12</v>
      </c>
      <c r="H5" s="5" t="n">
        <v>925238.6</v>
      </c>
      <c r="I5" s="5" t="n">
        <v>957894.08</v>
      </c>
      <c r="J5" s="5" t="n">
        <v>979664.4</v>
      </c>
      <c r="K5" s="5" t="n">
        <v>1001434.72</v>
      </c>
      <c r="L5" s="5" t="n">
        <v>1023205.04</v>
      </c>
      <c r="M5" s="5" t="n">
        <v>914353.44</v>
      </c>
      <c r="N5" s="6" t="n">
        <f aca="false">SUM(B5:M5)</f>
        <v>10885160</v>
      </c>
    </row>
    <row r="6" customFormat="false" ht="15" hidden="false" customHeight="false" outlineLevel="0" collapsed="false">
      <c r="A6" s="4" t="s">
        <v>17</v>
      </c>
      <c r="B6" s="5" t="n">
        <v>552441.6</v>
      </c>
      <c r="C6" s="5" t="n">
        <v>537096</v>
      </c>
      <c r="D6" s="5" t="n">
        <v>598478.4</v>
      </c>
      <c r="E6" s="5" t="n">
        <v>613824</v>
      </c>
      <c r="F6" s="5" t="n">
        <v>652188</v>
      </c>
      <c r="G6" s="5" t="n">
        <v>629169.6</v>
      </c>
      <c r="H6" s="5" t="n">
        <v>652188</v>
      </c>
      <c r="I6" s="5" t="n">
        <v>675206.4</v>
      </c>
      <c r="J6" s="5" t="n">
        <v>690552</v>
      </c>
      <c r="K6" s="5" t="n">
        <v>705897.6</v>
      </c>
      <c r="L6" s="5" t="n">
        <v>721243.2</v>
      </c>
      <c r="M6" s="5" t="n">
        <v>644515.2</v>
      </c>
      <c r="N6" s="6" t="n">
        <f aca="false">SUM(B6:M6)</f>
        <v>7672800</v>
      </c>
    </row>
    <row r="7" customFormat="false" ht="15" hidden="false" customHeight="false" outlineLevel="0" collapsed="false">
      <c r="A7" s="7" t="s">
        <v>18</v>
      </c>
      <c r="B7" s="8" t="n">
        <f aca="false">B5-B6</f>
        <v>231289.92</v>
      </c>
      <c r="C7" s="8" t="n">
        <f aca="false">C5-C6</f>
        <v>224865.2</v>
      </c>
      <c r="D7" s="8" t="n">
        <f aca="false">D5-D6</f>
        <v>250564.08</v>
      </c>
      <c r="E7" s="8" t="n">
        <f aca="false">E5-E6</f>
        <v>256988.8</v>
      </c>
      <c r="F7" s="8" t="n">
        <f aca="false">F5-F6</f>
        <v>273050.6</v>
      </c>
      <c r="G7" s="8" t="n">
        <f aca="false">G5-G6</f>
        <v>263413.52</v>
      </c>
      <c r="H7" s="8" t="n">
        <f aca="false">H5-H6</f>
        <v>273050.6</v>
      </c>
      <c r="I7" s="8" t="n">
        <f aca="false">I5-I6</f>
        <v>282687.68</v>
      </c>
      <c r="J7" s="8" t="n">
        <f aca="false">J5-J6</f>
        <v>289112.4</v>
      </c>
      <c r="K7" s="8" t="n">
        <f aca="false">K5-K6</f>
        <v>295537.12</v>
      </c>
      <c r="L7" s="8" t="n">
        <f aca="false">L5-L6</f>
        <v>301961.84</v>
      </c>
      <c r="M7" s="8" t="n">
        <f aca="false">M5-M6</f>
        <v>269838.24</v>
      </c>
      <c r="N7" s="8" t="n">
        <f aca="false">SUM(B7:M7)</f>
        <v>3212360</v>
      </c>
    </row>
    <row r="8" customFormat="false" ht="15" hidden="false" customHeight="false" outlineLevel="0" collapsed="false">
      <c r="A8" s="4" t="s">
        <v>19</v>
      </c>
      <c r="B8" s="5" t="n">
        <v>181140.15</v>
      </c>
      <c r="C8" s="5" t="n">
        <v>176108.48</v>
      </c>
      <c r="D8" s="5" t="n">
        <v>196235.17</v>
      </c>
      <c r="E8" s="5" t="n">
        <v>201266.84</v>
      </c>
      <c r="F8" s="5" t="n">
        <v>213846.01</v>
      </c>
      <c r="G8" s="5" t="n">
        <v>206298.51</v>
      </c>
      <c r="H8" s="5" t="n">
        <v>213846.01</v>
      </c>
      <c r="I8" s="5" t="n">
        <v>221393.52</v>
      </c>
      <c r="J8" s="5" t="n">
        <v>226425.19</v>
      </c>
      <c r="K8" s="5" t="n">
        <v>231456.86</v>
      </c>
      <c r="L8" s="5" t="n">
        <v>236488.53</v>
      </c>
      <c r="M8" s="5" t="n">
        <v>211330.18</v>
      </c>
      <c r="N8" s="6" t="n">
        <f aca="false">SUM(B8:M8)</f>
        <v>2515835.45</v>
      </c>
    </row>
    <row r="9" customFormat="false" ht="15" hidden="false" customHeight="false" outlineLevel="0" collapsed="false">
      <c r="A9" s="9" t="s">
        <v>20</v>
      </c>
      <c r="B9" s="10" t="n">
        <f aca="false">B7-B8</f>
        <v>50149.7700000001</v>
      </c>
      <c r="C9" s="10" t="n">
        <f aca="false">C7-C8</f>
        <v>48756.7199999999</v>
      </c>
      <c r="D9" s="10" t="n">
        <f aca="false">D7-D8</f>
        <v>54328.9099999999</v>
      </c>
      <c r="E9" s="10" t="n">
        <f aca="false">E7-E8</f>
        <v>55721.9600000001</v>
      </c>
      <c r="F9" s="10" t="n">
        <f aca="false">F7-F8</f>
        <v>59204.59</v>
      </c>
      <c r="G9" s="10" t="n">
        <f aca="false">G7-G8</f>
        <v>57115.01</v>
      </c>
      <c r="H9" s="10" t="n">
        <f aca="false">H7-H8</f>
        <v>59204.59</v>
      </c>
      <c r="I9" s="10" t="n">
        <f aca="false">I7-I8</f>
        <v>61294.1599999999</v>
      </c>
      <c r="J9" s="10" t="n">
        <f aca="false">J7-J8</f>
        <v>62687.21</v>
      </c>
      <c r="K9" s="10" t="n">
        <f aca="false">K7-K8</f>
        <v>64080.26</v>
      </c>
      <c r="L9" s="10" t="n">
        <f aca="false">L7-L8</f>
        <v>65473.3100000001</v>
      </c>
      <c r="M9" s="10" t="n">
        <f aca="false">M7-M8</f>
        <v>58508.06</v>
      </c>
      <c r="N9" s="10" t="n">
        <f aca="false">SUM(B9:M9)</f>
        <v>696524.55</v>
      </c>
    </row>
    <row r="11" customFormat="false" ht="37.3" hidden="false" customHeight="false" outlineLevel="0" collapsed="false">
      <c r="A11" s="11" t="s">
        <v>21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2026-06-17T11:20:56Z</dcterms:created>
  <dc:creator>openpyxl</dc:creator>
  <dc:description/>
  <dc:language>en-US</dc:language>
  <cp:lastModifiedBy/>
  <dcterms:modified xsi:type="dcterms:W3CDTF">2026-06-17T11:20:56Z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