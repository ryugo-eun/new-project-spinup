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&amp;L by Clas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<sst xmlns="http://schemas.openxmlformats.org/spreadsheetml/2006/main" count="16" uniqueCount="16">
  <si>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Atlas Trade Provisions LLC — Profit &amp; Loss by Class</t>
  </si>
  <si>
    <t xml:space="preserve">January 1 – December 31, 2024 · Pre-adjustment · Class = sales channel · Accrual basis</t>
  </si>
  <si>
    <t xml:space="preserve">Line</t>
  </si>
  <si>
    <t xml:space="preserve">Independent Retail/Specialty</t>
  </si>
  <si>
    <t xml:space="preserve">Regional Chain Retail</t>
  </si>
  <si>
    <t xml:space="preserve">Restaurant/Foodservice</t>
  </si>
  <si>
    <t xml:space="preserve">Wholesale Marketplace</t>
  </si>
  <si>
    <t xml:space="preserve">Seasonal/Holiday Programs</t>
  </si>
  <si>
    <t xml:space="preserve">G&amp;A / Unclassified</t>
  </si>
  <si>
    <t xml:space="preserve">Total</t>
  </si>
  <si>
    <t xml:space="preserve">Net Revenue</t>
  </si>
  <si>
    <t xml:space="preserve">Cost of Goods Sold</t>
  </si>
  <si>
    <t xml:space="preserve">Gross Profit</t>
  </si>
  <si>
    <t xml:space="preserve">Operating Expenses</t>
  </si>
  <si>
    <t xml:space="preserve">Net Operating Income</t>
  </si>
  <si>
    <t xml:space="preserve">Class reflects sales channel. Operating expenses are general &amp; administrative (unclassified). Other income/expense (FX, interest, gain) excluded from operating view.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</si>
</sst>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;&quot;(($&quot;#,##0.00&quot;))&quot;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3A2E55"/>
      <name val="Arial"/>
      <family val="0"/>
      <charset val="1"/>
    </font>
    <font>
      <i val="true"/>
      <sz val="9"/>
      <color rgb="FF6B6480"/>
      <name val="Arial"/>
      <family val="0"/>
      <charset val="1"/>
    </font>
    <font>
      <b val="true"/>
      <sz val="9"/>
      <color rgb="FF3A2E55"/>
      <name val="Arial"/>
      <family val="0"/>
      <charset val="1"/>
    </font>
    <font>
      <b val="true"/>
      <sz val="9"/>
      <color rgb="FF2B2440"/>
      <name val="Arial"/>
      <family val="0"/>
      <charset val="1"/>
    </font>
    <font>
      <sz val="9"/>
      <color rgb="FF2B2440"/>
      <name val="Arial"/>
      <family val="0"/>
      <charset val="1"/>
    </font>
    <font>
      <i val="true"/>
      <sz val="8"/>
      <color rgb="FF6B64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FE9F7"/>
        <bgColor rgb="FFD8D2E0"/>
      </patternFill>
    </fill>
    <fill>
      <patternFill patternType="solid">
        <fgColor rgb="FFC8B8E0"/>
        <bgColor rgb="FFD9CCEE"/>
      </patternFill>
    </fill>
    <fill>
      <patternFill patternType="solid">
        <fgColor rgb="FFD9CCEE"/>
        <bgColor rgb="FFD8D2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2E0"/>
      </left>
      <right style="thin">
        <color rgb="FFD8D2E0"/>
      </right>
      <top style="thin">
        <color rgb="FFD8D2E0"/>
      </top>
      <bottom style="thin">
        <color rgb="FFD8D2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9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B8E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CC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D8D2E0"/>
      <rgbColor rgb="FF3366FF"/>
      <rgbColor rgb="FF33CCCC"/>
      <rgbColor rgb="FF99CC00"/>
      <rgbColor rgb="FFFFCC00"/>
      <rgbColor rgb="FFFF9900"/>
      <rgbColor rgb="FFFF6600"/>
      <rgbColor rgb="FF6B6480"/>
      <rgbColor rgb="FF969696"/>
      <rgbColor rgb="FF003366"/>
      <rgbColor rgb="FF339966"/>
      <rgbColor rgb="FF003300"/>
      <rgbColor rgb="FF2B2440"/>
      <rgbColor rgb="FF993300"/>
      <rgbColor rgb="FF993366"/>
      <rgbColor rgb="FF333399"/>
      <rgbColor rgb="FF3A2E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5"/>
    <col collapsed="false" customWidth="true" hidden="false" outlineLevel="0" max="7" min="7" style="0" width="16"/>
    <col collapsed="false" customWidth="true" hidden="false" outlineLevel="0" max="8" min="8" style="0" width="15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2.3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5" t="n">
        <v>4284000</v>
      </c>
      <c r="C5" s="5" t="n">
        <v>2700000</v>
      </c>
      <c r="D5" s="5" t="n">
        <v>1618360</v>
      </c>
      <c r="E5" s="5" t="n">
        <v>1080000</v>
      </c>
      <c r="F5" s="5" t="n">
        <v>1120000</v>
      </c>
      <c r="G5" s="5" t="n">
        <v>82800</v>
      </c>
      <c r="H5" s="6" t="n">
        <f aca="false">SUM(B5:G5)</f>
        <v>10885160</v>
      </c>
    </row>
    <row r="6" customFormat="false" ht="15" hidden="false" customHeight="false" outlineLevel="0" collapsed="false">
      <c r="A6" s="4" t="s">
        <v>11</v>
      </c>
      <c r="B6" s="5" t="n">
        <v>3010000</v>
      </c>
      <c r="C6" s="5" t="n">
        <v>1915000</v>
      </c>
      <c r="D6" s="5" t="n">
        <v>1170000</v>
      </c>
      <c r="E6" s="5" t="n">
        <v>790000</v>
      </c>
      <c r="F6" s="5" t="n">
        <v>760000</v>
      </c>
      <c r="G6" s="5" t="n">
        <v>27800</v>
      </c>
      <c r="H6" s="6" t="n">
        <f aca="false">SUM(B6:G6)</f>
        <v>7672800</v>
      </c>
    </row>
    <row r="7" customFormat="false" ht="15" hidden="false" customHeight="false" outlineLevel="0" collapsed="false">
      <c r="A7" s="7" t="s">
        <v>12</v>
      </c>
      <c r="B7" s="8" t="n">
        <f aca="false">B5-B6</f>
        <v>1274000</v>
      </c>
      <c r="C7" s="8" t="n">
        <f aca="false">C5-C6</f>
        <v>785000</v>
      </c>
      <c r="D7" s="8" t="n">
        <f aca="false">D5-D6</f>
        <v>448360</v>
      </c>
      <c r="E7" s="8" t="n">
        <f aca="false">E5-E6</f>
        <v>290000</v>
      </c>
      <c r="F7" s="8" t="n">
        <f aca="false">F5-F6</f>
        <v>360000</v>
      </c>
      <c r="G7" s="8" t="n">
        <f aca="false">G5-G6</f>
        <v>55000</v>
      </c>
      <c r="H7" s="8" t="n">
        <f aca="false">H5-H6</f>
        <v>3212360</v>
      </c>
    </row>
    <row r="8" customFormat="false" ht="15" hidden="false" customHeight="false" outlineLevel="0" collapsed="false">
      <c r="A8" s="4" t="s">
        <v>13</v>
      </c>
      <c r="G8" s="5" t="n">
        <v>2515835.46</v>
      </c>
      <c r="H8" s="6" t="n">
        <f aca="false">SUM(B8:G8)</f>
        <v>2515835.46</v>
      </c>
    </row>
    <row r="9" customFormat="false" ht="15" hidden="false" customHeight="false" outlineLevel="0" collapsed="false">
      <c r="A9" s="9" t="s">
        <v>14</v>
      </c>
      <c r="B9" s="10" t="n">
        <f aca="false">B7-B8</f>
        <v>1274000</v>
      </c>
      <c r="C9" s="10" t="n">
        <f aca="false">C7-C8</f>
        <v>785000</v>
      </c>
      <c r="D9" s="10" t="n">
        <f aca="false">D7-D8</f>
        <v>448360</v>
      </c>
      <c r="E9" s="10" t="n">
        <f aca="false">E7-E8</f>
        <v>290000</v>
      </c>
      <c r="F9" s="10" t="n">
        <f aca="false">F7-F8</f>
        <v>360000</v>
      </c>
      <c r="G9" s="10" t="n">
        <f aca="false">G7-G8</f>
        <v>-2460835.46</v>
      </c>
      <c r="H9" s="10" t="n">
        <f aca="false">H7-H8</f>
        <v>696524.54</v>
      </c>
    </row>
    <row r="11" customFormat="false" ht="46.25" hidden="false" customHeight="false" outlineLevel="0" collapsed="false">
      <c r="A11" s="11" t="s">
        <v>15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2026-06-17T11:20:56Z</dcterms:created>
  <dc:creator>openpyxl</dc:creator>
  <dc:description/>
  <dc:language>en-US</dc:language>
  <cp:lastModifiedBy/>
  <dcterms:modified xsi:type="dcterms:W3CDTF">2026-06-17T11:20:56Z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