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ehouse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<sst xmlns="http://schemas.openxmlformats.org/spreadsheetml/2006/main" count="50" uniqueCount="50">
  <si>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Atlas Trade Provisions LLC — Warehouse Inventory (as of Nov 30, 2024)</t>
  </si>
  <si>
    <t xml:space="preserve">On-hand inventory at landed cost by SKU and lot, with expiry. December receipts are added during the close.</t>
  </si>
  <si>
    <t xml:space="preserve">SKU</t>
  </si>
  <si>
    <t xml:space="preserve">Description</t>
  </si>
  <si>
    <t xml:space="preserve">Lot</t>
  </si>
  <si>
    <t xml:space="preserve">Qty</t>
  </si>
  <si>
    <t xml:space="preserve">Unit Cost</t>
  </si>
  <si>
    <t xml:space="preserve">Extended Cost</t>
  </si>
  <si>
    <t xml:space="preserve">Expiry</t>
  </si>
  <si>
    <t xml:space="preserve">SKU-1001</t>
  </si>
  <si>
    <t xml:space="preserve">Olive oil 500ml (IT)</t>
  </si>
  <si>
    <t xml:space="preserve">LOT-A231</t>
  </si>
  <si>
    <t xml:space="preserve">2025-08</t>
  </si>
  <si>
    <t xml:space="preserve">SKU-1002</t>
  </si>
  <si>
    <t xml:space="preserve">Aged balsamic 250ml</t>
  </si>
  <si>
    <t xml:space="preserve">LOT-A244</t>
  </si>
  <si>
    <t xml:space="preserve">2025-11</t>
  </si>
  <si>
    <t xml:space="preserve">SKU-1010</t>
  </si>
  <si>
    <t xml:space="preserve">Specialty teas assortment</t>
  </si>
  <si>
    <t xml:space="preserve">LOT-C118</t>
  </si>
  <si>
    <t xml:space="preserve">2025-06</t>
  </si>
  <si>
    <t xml:space="preserve">SKU-1011</t>
  </si>
  <si>
    <t xml:space="preserve">Spice blends case</t>
  </si>
  <si>
    <t xml:space="preserve">LOT-C140</t>
  </si>
  <si>
    <t xml:space="preserve">2026-02</t>
  </si>
  <si>
    <t xml:space="preserve">SKU-1020</t>
  </si>
  <si>
    <t xml:space="preserve">Shortbread tins (UK)</t>
  </si>
  <si>
    <t xml:space="preserve">LOT-U090</t>
  </si>
  <si>
    <t xml:space="preserve">2025-04</t>
  </si>
  <si>
    <t xml:space="preserve">SKU-1021</t>
  </si>
  <si>
    <t xml:space="preserve">Preserves gift set</t>
  </si>
  <si>
    <t xml:space="preserve">LOT-U101</t>
  </si>
  <si>
    <t xml:space="preserve">2025-03</t>
  </si>
  <si>
    <t xml:space="preserve">SKU-1030</t>
  </si>
  <si>
    <t xml:space="preserve">Agave &amp; syrups (MX)</t>
  </si>
  <si>
    <t xml:space="preserve">LOT-M044</t>
  </si>
  <si>
    <t xml:space="preserve">2025-09</t>
  </si>
  <si>
    <t xml:space="preserve">SKU-1031</t>
  </si>
  <si>
    <t xml:space="preserve">Dried chiles case</t>
  </si>
  <si>
    <t xml:space="preserve">LOT-M050</t>
  </si>
  <si>
    <t xml:space="preserve">2025-12</t>
  </si>
  <si>
    <t xml:space="preserve">SKU-1040</t>
  </si>
  <si>
    <t xml:space="preserve">Artisan crackers</t>
  </si>
  <si>
    <t xml:space="preserve">LOT-A260</t>
  </si>
  <si>
    <t xml:space="preserve">2025-05</t>
  </si>
  <si>
    <t xml:space="preserve">SKU-1041</t>
  </si>
  <si>
    <t xml:space="preserve">Cheese accompaniments</t>
  </si>
  <si>
    <t xml:space="preserve">LOT-A266</t>
  </si>
  <si>
    <t xml:space="preserve">2025-02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</si>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</sst>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$#,##0.00;&quot;($&quot;#,##0.00\);\-"/>
    <numFmt numFmtId="167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 t="s">
        <v>10</v>
      </c>
      <c r="C5" s="7" t="s">
        <v>11</v>
      </c>
      <c r="D5" s="8" t="n">
        <v>4200</v>
      </c>
      <c r="E5" s="9" t="n">
        <v>39.5898</v>
      </c>
      <c r="F5" s="10" t="n">
        <f aca="false">D5*E5</f>
        <v>166277.16</v>
      </c>
      <c r="G5" s="7" t="s">
        <v>12</v>
      </c>
    </row>
    <row r="6" customFormat="false" ht="15" hidden="false" customHeight="false" outlineLevel="0" collapsed="false">
      <c r="A6" s="5" t="s">
        <v>13</v>
      </c>
      <c r="B6" s="6" t="s">
        <v>14</v>
      </c>
      <c r="C6" s="7" t="s">
        <v>15</v>
      </c>
      <c r="D6" s="8" t="n">
        <v>2600</v>
      </c>
      <c r="E6" s="9" t="n">
        <v>43.74</v>
      </c>
      <c r="F6" s="10" t="n">
        <f aca="false">D6*E6</f>
        <v>113724</v>
      </c>
      <c r="G6" s="7" t="s">
        <v>16</v>
      </c>
    </row>
    <row r="7" customFormat="false" ht="15" hidden="false" customHeight="false" outlineLevel="0" collapsed="false">
      <c r="A7" s="5" t="s">
        <v>17</v>
      </c>
      <c r="B7" s="6" t="s">
        <v>18</v>
      </c>
      <c r="C7" s="7" t="s">
        <v>19</v>
      </c>
      <c r="D7" s="8" t="n">
        <v>5100</v>
      </c>
      <c r="E7" s="9" t="n">
        <v>22.91</v>
      </c>
      <c r="F7" s="10" t="n">
        <f aca="false">D7*E7</f>
        <v>116841</v>
      </c>
      <c r="G7" s="7" t="s">
        <v>20</v>
      </c>
    </row>
    <row r="8" customFormat="false" ht="15" hidden="false" customHeight="false" outlineLevel="0" collapsed="false">
      <c r="A8" s="5" t="s">
        <v>21</v>
      </c>
      <c r="B8" s="6" t="s">
        <v>22</v>
      </c>
      <c r="C8" s="7" t="s">
        <v>23</v>
      </c>
      <c r="D8" s="8" t="n">
        <v>3300</v>
      </c>
      <c r="E8" s="9" t="n">
        <v>29.16</v>
      </c>
      <c r="F8" s="10" t="n">
        <f aca="false">D8*E8</f>
        <v>96228</v>
      </c>
      <c r="G8" s="7" t="s">
        <v>24</v>
      </c>
    </row>
    <row r="9" customFormat="false" ht="15" hidden="false" customHeight="false" outlineLevel="0" collapsed="false">
      <c r="A9" s="5" t="s">
        <v>25</v>
      </c>
      <c r="B9" s="6" t="s">
        <v>26</v>
      </c>
      <c r="C9" s="7" t="s">
        <v>27</v>
      </c>
      <c r="D9" s="8" t="n">
        <v>2800</v>
      </c>
      <c r="E9" s="9" t="n">
        <v>32.29</v>
      </c>
      <c r="F9" s="10" t="n">
        <f aca="false">D9*E9</f>
        <v>90412</v>
      </c>
      <c r="G9" s="7" t="s">
        <v>28</v>
      </c>
    </row>
    <row r="10" customFormat="false" ht="15" hidden="false" customHeight="false" outlineLevel="0" collapsed="false">
      <c r="A10" s="5" t="s">
        <v>29</v>
      </c>
      <c r="B10" s="6" t="s">
        <v>30</v>
      </c>
      <c r="C10" s="7" t="s">
        <v>31</v>
      </c>
      <c r="D10" s="8" t="n">
        <v>1900</v>
      </c>
      <c r="E10" s="9" t="n">
        <v>37.5</v>
      </c>
      <c r="F10" s="10" t="n">
        <f aca="false">D10*E10</f>
        <v>71250</v>
      </c>
      <c r="G10" s="7" t="s">
        <v>32</v>
      </c>
    </row>
    <row r="11" customFormat="false" ht="15" hidden="false" customHeight="false" outlineLevel="0" collapsed="false">
      <c r="A11" s="5" t="s">
        <v>33</v>
      </c>
      <c r="B11" s="6" t="s">
        <v>34</v>
      </c>
      <c r="C11" s="7" t="s">
        <v>35</v>
      </c>
      <c r="D11" s="8" t="n">
        <v>3600</v>
      </c>
      <c r="E11" s="9" t="n">
        <v>19.27</v>
      </c>
      <c r="F11" s="10" t="n">
        <f aca="false">D11*E11</f>
        <v>69372</v>
      </c>
      <c r="G11" s="7" t="s">
        <v>36</v>
      </c>
    </row>
    <row r="12" customFormat="false" ht="15" hidden="false" customHeight="false" outlineLevel="0" collapsed="false">
      <c r="A12" s="5" t="s">
        <v>37</v>
      </c>
      <c r="B12" s="6" t="s">
        <v>38</v>
      </c>
      <c r="C12" s="7" t="s">
        <v>39</v>
      </c>
      <c r="D12" s="8" t="n">
        <v>2200</v>
      </c>
      <c r="E12" s="9" t="n">
        <v>24.99</v>
      </c>
      <c r="F12" s="10" t="n">
        <f aca="false">D12*E12</f>
        <v>54978</v>
      </c>
      <c r="G12" s="7" t="s">
        <v>40</v>
      </c>
    </row>
    <row r="13" customFormat="false" ht="15" hidden="false" customHeight="false" outlineLevel="0" collapsed="false">
      <c r="A13" s="5" t="s">
        <v>41</v>
      </c>
      <c r="B13" s="6" t="s">
        <v>42</v>
      </c>
      <c r="C13" s="7" t="s">
        <v>43</v>
      </c>
      <c r="D13" s="8" t="n">
        <v>4100</v>
      </c>
      <c r="E13" s="9" t="n">
        <v>16.67</v>
      </c>
      <c r="F13" s="10" t="n">
        <f aca="false">D13*E13</f>
        <v>68347</v>
      </c>
      <c r="G13" s="7" t="s">
        <v>44</v>
      </c>
    </row>
    <row r="14" customFormat="false" ht="15" hidden="false" customHeight="false" outlineLevel="0" collapsed="false">
      <c r="A14" s="5" t="s">
        <v>45</v>
      </c>
      <c r="B14" s="6" t="s">
        <v>46</v>
      </c>
      <c r="C14" s="7" t="s">
        <v>47</v>
      </c>
      <c r="D14" s="8" t="n">
        <v>2400</v>
      </c>
      <c r="E14" s="9" t="n">
        <v>30.2</v>
      </c>
      <c r="F14" s="10" t="n">
        <f aca="false">D14*E14</f>
        <v>72480</v>
      </c>
      <c r="G14" s="7" t="s">
        <v>48</v>
      </c>
    </row>
    <row r="15" customFormat="false" ht="15" hidden="false" customHeight="false" outlineLevel="0" collapsed="false">
      <c r="A15" s="11"/>
      <c r="B15" s="11"/>
      <c r="C15" s="12" t="s">
        <v>49</v>
      </c>
      <c r="D15" s="11"/>
      <c r="E15" s="11"/>
      <c r="F15" s="13" t="n">
        <f aca="false">SUM(F5:F14)</f>
        <v>919909.16</v>
      </c>
      <c r="G15" s="11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2026-06-17T07:58:54Z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