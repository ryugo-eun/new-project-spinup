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<sst xmlns="http://schemas.openxmlformats.org/spreadsheetml/2006/main" count="158" uniqueCount="101">
  <si>
    <t xml:space="preserve">Atlas Trade Provisions LLC — Fixed Asset Register (FY2024)</t>
  </si>
  <si>
    <t xml:space="preserve">Component-level. Cost, salvage, life, method, accumulated depreciation as of Dec 31, 2024. Authoritative subledger for FA reconciliation.</t>
  </si>
  <si>
    <t xml:space="preserve">Asset ID</t>
  </si>
  <si>
    <t xml:space="preserve">Description</t>
  </si>
  <si>
    <t xml:space="preserve">Class</t>
  </si>
  <si>
    <t xml:space="preserve">In-Service</t>
  </si>
  <si>
    <t xml:space="preserve">Cost</t>
  </si>
  <si>
    <t xml:space="preserve">Salvage</t>
  </si>
  <si>
    <t xml:space="preserve">Life (yrs)</t>
  </si>
  <si>
    <t xml:space="preserve">Method</t>
  </si>
  <si>
    <t xml:space="preserve">Accum. Depr.</t>
  </si>
  <si>
    <t xml:space="preserve">DCK-01</t>
  </si>
  <si>
    <t xml:space="preserve">Dock scissor lifts (2)</t>
  </si>
  <si>
    <t xml:space="preserve">Dock &amp; Material Handling</t>
  </si>
  <si>
    <t xml:space="preserve">2018-06-01</t>
  </si>
  <si>
    <t xml:space="preserve">SL mid-month</t>
  </si>
  <si>
    <t xml:space="preserve">DCK-02</t>
  </si>
  <si>
    <t xml:space="preserve">Conveyor &amp; sortation - inbound</t>
  </si>
  <si>
    <t xml:space="preserve">2019-03-01</t>
  </si>
  <si>
    <t xml:space="preserve">FLT-01</t>
  </si>
  <si>
    <t xml:space="preserve">Refrigerated box truck #1</t>
  </si>
  <si>
    <t xml:space="preserve">Delivery Fleet - Owned</t>
  </si>
  <si>
    <t xml:space="preserve">2019-08-01</t>
  </si>
  <si>
    <t xml:space="preserve">FLT-02</t>
  </si>
  <si>
    <t xml:space="preserve">Refrigerated box truck #2</t>
  </si>
  <si>
    <t xml:space="preserve">2019-02-01</t>
  </si>
  <si>
    <t xml:space="preserve">FLT-03</t>
  </si>
  <si>
    <t xml:space="preserve">Refrigerated van #1</t>
  </si>
  <si>
    <t xml:space="preserve">2020-10-01</t>
  </si>
  <si>
    <t xml:space="preserve">FLT-04</t>
  </si>
  <si>
    <t xml:space="preserve">Refrigerated van #2</t>
  </si>
  <si>
    <t xml:space="preserve">2021-04-01</t>
  </si>
  <si>
    <t xml:space="preserve">FRK-01</t>
  </si>
  <si>
    <t xml:space="preserve">Reach truck - cold zone #1</t>
  </si>
  <si>
    <t xml:space="preserve">Forklifts &amp; Powered</t>
  </si>
  <si>
    <t xml:space="preserve">2019-07-01</t>
  </si>
  <si>
    <t xml:space="preserve">FRK-02</t>
  </si>
  <si>
    <t xml:space="preserve">Reach truck - cold zone #2</t>
  </si>
  <si>
    <t xml:space="preserve">FRK-03</t>
  </si>
  <si>
    <t xml:space="preserve">Counterbalance forklift - yard</t>
  </si>
  <si>
    <t xml:space="preserve">2019-01-01</t>
  </si>
  <si>
    <t xml:space="preserve">FRK-04</t>
  </si>
  <si>
    <t xml:space="preserve">Electric pallet jacks (fleet)</t>
  </si>
  <si>
    <t xml:space="preserve">FRK-05</t>
  </si>
  <si>
    <t xml:space="preserve">Order picker</t>
  </si>
  <si>
    <t xml:space="preserve">2021-05-01</t>
  </si>
  <si>
    <t xml:space="preserve">LHI-01</t>
  </si>
  <si>
    <t xml:space="preserve">Warehouse buildout - structural &amp; demising walls</t>
  </si>
  <si>
    <t xml:space="preserve">Leasehold Improvements</t>
  </si>
  <si>
    <t xml:space="preserve">2018-03-15</t>
  </si>
  <si>
    <t xml:space="preserve">LHI-02</t>
  </si>
  <si>
    <t xml:space="preserve">Dock levelers &amp; loading-bay improvements</t>
  </si>
  <si>
    <t xml:space="preserve">LHI-03</t>
  </si>
  <si>
    <t xml:space="preserve">Ambient-zone electrical &amp; lighting upgrade</t>
  </si>
  <si>
    <t xml:space="preserve">2019-06-01</t>
  </si>
  <si>
    <t xml:space="preserve">LHI-04</t>
  </si>
  <si>
    <t xml:space="preserve">Office build-out within warehouse</t>
  </si>
  <si>
    <t xml:space="preserve">OIT-01</t>
  </si>
  <si>
    <t xml:space="preserve">WMS servers &amp; network</t>
  </si>
  <si>
    <t xml:space="preserve">Office &amp; IT Equipment</t>
  </si>
  <si>
    <t xml:space="preserve">2020-09-01</t>
  </si>
  <si>
    <t xml:space="preserve">OIT-02</t>
  </si>
  <si>
    <t xml:space="preserve">Office workstations &amp; peripherals</t>
  </si>
  <si>
    <t xml:space="preserve">2020-04-01</t>
  </si>
  <si>
    <t xml:space="preserve">OIT-03</t>
  </si>
  <si>
    <t xml:space="preserve">Handheld scanners &amp; label printers</t>
  </si>
  <si>
    <t xml:space="preserve">2021-01-01</t>
  </si>
  <si>
    <t xml:space="preserve">RCK-01</t>
  </si>
  <si>
    <t xml:space="preserve">Selective pallet racking - ambient</t>
  </si>
  <si>
    <t xml:space="preserve">Racking &amp; Storage</t>
  </si>
  <si>
    <t xml:space="preserve">2018-04-01</t>
  </si>
  <si>
    <t xml:space="preserve">RCK-02</t>
  </si>
  <si>
    <t xml:space="preserve">Drive-in racking - cold zone</t>
  </si>
  <si>
    <t xml:space="preserve">RCK-03</t>
  </si>
  <si>
    <t xml:space="preserve">Mezzanine shelving &amp; pick modules</t>
  </si>
  <si>
    <t xml:space="preserve">2019-09-01</t>
  </si>
  <si>
    <t xml:space="preserve">REF-01</t>
  </si>
  <si>
    <t xml:space="preserve">Refrigeration compressor rack A</t>
  </si>
  <si>
    <t xml:space="preserve">Refrigeration &amp; Cold-Storage</t>
  </si>
  <si>
    <t xml:space="preserve">2018-05-01</t>
  </si>
  <si>
    <t xml:space="preserve">REF-02</t>
  </si>
  <si>
    <t xml:space="preserve">Condenser units (roof) set</t>
  </si>
  <si>
    <t xml:space="preserve">REF-03</t>
  </si>
  <si>
    <t xml:space="preserve">Evaporator coils &amp; air handlers</t>
  </si>
  <si>
    <t xml:space="preserve">REF-04</t>
  </si>
  <si>
    <t xml:space="preserve">Refrigeration controls &amp; monitoring</t>
  </si>
  <si>
    <t xml:space="preserve">REF-06</t>
  </si>
  <si>
    <t xml:space="preserve">Glycol loop &amp; insulation upgrade</t>
  </si>
  <si>
    <t xml:space="preserve">TOTAL</t>
  </si>
  <si>
    <t xml:space="preserve">Net book value = Cost − Accumulated depreciation. Componentized assets depreciate at their own lives/conventions per policy.</t>
  </si>
  <si>
    <t xml:space="preserve">Disposals during FY2024 (derecognized; for rollforward reconciliation)</t>
  </si>
  <si>
    <t xml:space="preserve">Disposal Date</t>
  </si>
  <si>
    <t xml:space="preserve">Orig. Cost</t>
  </si>
  <si>
    <t xml:space="preserve">Accum. Depr. at Disposal</t>
  </si>
  <si>
    <t xml:space="preserve">Net Book Value</t>
  </si>
  <si>
    <t xml:space="preserve">Proceeds</t>
  </si>
  <si>
    <t xml:space="preserve">Gain/(Loss)</t>
  </si>
  <si>
    <t xml:space="preserve">FLT-00</t>
  </si>
  <si>
    <t xml:space="preserve">Refrigerated van (older unit) — sold</t>
  </si>
  <si>
    <t xml:space="preserve">2024-06-30</t>
  </si>
  <si>
    <t xml:space="preserve">Disposal recorded on 2024-06-30: the van was removed from service and derecognized. Proceeds of $16,000 exceeded net book value of $4,000, producing a $12,000 gain. A disposal gain is reported in Other Operating Revenue (4090); it is not netted against the fleet asset cost account. The four fleet units above (FLT-01 through FLT-04) are the surviving owned vehicles after this disposal.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</si>
</sst>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"/>
    <numFmt numFmtId="16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3A2E55"/>
      <name val="Arial"/>
      <family val="0"/>
      <charset val="1"/>
    </font>
    <font>
      <b val="true"/>
      <sz val="9"/>
      <color rgb="FF2B2440"/>
      <name val="Arial"/>
      <family val="0"/>
      <charset val="1"/>
    </font>
    <font>
      <sz val="9"/>
      <color rgb="FF2B2440"/>
      <name val="Arial"/>
      <family val="0"/>
      <charset val="1"/>
    </font>
    <font>
      <b val="true"/>
      <sz val="10"/>
      <color rgb="FF3A2E55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FE9F7"/>
        <bgColor rgb="FFD8D2E0"/>
      </patternFill>
    </fill>
    <fill>
      <patternFill patternType="solid">
        <fgColor rgb="FFC8B8E0"/>
        <bgColor rgb="FFD9CCEE"/>
      </patternFill>
    </fill>
    <fill>
      <patternFill patternType="solid">
        <fgColor rgb="FFD9CCEE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9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CC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8D2E0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4"/>
    <col collapsed="false" customWidth="true" hidden="false" outlineLevel="0" max="3" min="3" style="1" width="26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9"/>
    <col collapsed="false" customWidth="true" hidden="false" outlineLevel="0" max="9" min="8" style="1" width="14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true" outlineLevel="0" collapsed="false">
      <c r="A5" s="5" t="s">
        <v>11</v>
      </c>
      <c r="B5" s="6" t="s">
        <v>12</v>
      </c>
      <c r="C5" s="6" t="s">
        <v>13</v>
      </c>
      <c r="D5" s="7" t="s">
        <v>14</v>
      </c>
      <c r="E5" s="8" t="n">
        <v>80000</v>
      </c>
      <c r="F5" s="8" t="n">
        <v>6000</v>
      </c>
      <c r="G5" s="9" t="n">
        <v>10</v>
      </c>
      <c r="H5" s="6" t="s">
        <v>15</v>
      </c>
      <c r="I5" s="8" t="n">
        <v>47791.66</v>
      </c>
    </row>
    <row r="6" customFormat="false" ht="15" hidden="false" customHeight="true" outlineLevel="0" collapsed="false">
      <c r="A6" s="5" t="s">
        <v>16</v>
      </c>
      <c r="B6" s="6" t="s">
        <v>17</v>
      </c>
      <c r="C6" s="6" t="s">
        <v>13</v>
      </c>
      <c r="D6" s="7" t="s">
        <v>18</v>
      </c>
      <c r="E6" s="8" t="n">
        <v>90000</v>
      </c>
      <c r="F6" s="8" t="n">
        <v>6000</v>
      </c>
      <c r="G6" s="9" t="n">
        <v>10</v>
      </c>
      <c r="H6" s="6" t="s">
        <v>15</v>
      </c>
      <c r="I6" s="8" t="n">
        <v>47950</v>
      </c>
    </row>
    <row r="7" customFormat="false" ht="15" hidden="false" customHeight="true" outlineLevel="0" collapsed="false">
      <c r="A7" s="5" t="s">
        <v>19</v>
      </c>
      <c r="B7" s="6" t="s">
        <v>20</v>
      </c>
      <c r="C7" s="6" t="s">
        <v>21</v>
      </c>
      <c r="D7" s="7" t="s">
        <v>22</v>
      </c>
      <c r="E7" s="8" t="n">
        <v>140000</v>
      </c>
      <c r="F7" s="8" t="n">
        <v>15000</v>
      </c>
      <c r="G7" s="9" t="n">
        <v>7</v>
      </c>
      <c r="H7" s="6" t="s">
        <v>15</v>
      </c>
      <c r="I7" s="8" t="n">
        <v>94494.04</v>
      </c>
    </row>
    <row r="8" customFormat="false" ht="15" hidden="false" customHeight="true" outlineLevel="0" collapsed="false">
      <c r="A8" s="5" t="s">
        <v>23</v>
      </c>
      <c r="B8" s="6" t="s">
        <v>24</v>
      </c>
      <c r="C8" s="6" t="s">
        <v>21</v>
      </c>
      <c r="D8" s="7" t="s">
        <v>25</v>
      </c>
      <c r="E8" s="8" t="n">
        <v>140000</v>
      </c>
      <c r="F8" s="8" t="n">
        <v>15000</v>
      </c>
      <c r="G8" s="9" t="n">
        <v>7</v>
      </c>
      <c r="H8" s="6" t="s">
        <v>15</v>
      </c>
      <c r="I8" s="8" t="n">
        <v>103422.61</v>
      </c>
    </row>
    <row r="9" customFormat="false" ht="15" hidden="false" customHeight="true" outlineLevel="0" collapsed="false">
      <c r="A9" s="5" t="s">
        <v>26</v>
      </c>
      <c r="B9" s="6" t="s">
        <v>27</v>
      </c>
      <c r="C9" s="6" t="s">
        <v>21</v>
      </c>
      <c r="D9" s="7" t="s">
        <v>28</v>
      </c>
      <c r="E9" s="8" t="n">
        <v>80000</v>
      </c>
      <c r="F9" s="8" t="n">
        <v>8000</v>
      </c>
      <c r="G9" s="9" t="n">
        <v>7</v>
      </c>
      <c r="H9" s="6" t="s">
        <v>15</v>
      </c>
      <c r="I9" s="8" t="n">
        <v>42428.57</v>
      </c>
    </row>
    <row r="10" customFormat="false" ht="15" hidden="false" customHeight="true" outlineLevel="0" collapsed="false">
      <c r="A10" s="5" t="s">
        <v>29</v>
      </c>
      <c r="B10" s="6" t="s">
        <v>30</v>
      </c>
      <c r="C10" s="6" t="s">
        <v>21</v>
      </c>
      <c r="D10" s="7" t="s">
        <v>31</v>
      </c>
      <c r="E10" s="8" t="n">
        <v>60000</v>
      </c>
      <c r="F10" s="8" t="n">
        <v>6000</v>
      </c>
      <c r="G10" s="9" t="n">
        <v>7</v>
      </c>
      <c r="H10" s="6" t="s">
        <v>15</v>
      </c>
      <c r="I10" s="8" t="n">
        <v>27964.28</v>
      </c>
    </row>
    <row r="11" customFormat="false" ht="15" hidden="false" customHeight="true" outlineLevel="0" collapsed="false">
      <c r="A11" s="5" t="s">
        <v>32</v>
      </c>
      <c r="B11" s="6" t="s">
        <v>33</v>
      </c>
      <c r="C11" s="6" t="s">
        <v>34</v>
      </c>
      <c r="D11" s="7" t="s">
        <v>35</v>
      </c>
      <c r="E11" s="8" t="n">
        <v>60000</v>
      </c>
      <c r="F11" s="8" t="n">
        <v>5000</v>
      </c>
      <c r="G11" s="9" t="n">
        <v>8</v>
      </c>
      <c r="H11" s="6" t="s">
        <v>15</v>
      </c>
      <c r="I11" s="8" t="n">
        <v>36953.12</v>
      </c>
    </row>
    <row r="12" customFormat="false" ht="15" hidden="false" customHeight="true" outlineLevel="0" collapsed="false">
      <c r="A12" s="5" t="s">
        <v>36</v>
      </c>
      <c r="B12" s="6" t="s">
        <v>37</v>
      </c>
      <c r="C12" s="6" t="s">
        <v>34</v>
      </c>
      <c r="D12" s="7" t="s">
        <v>35</v>
      </c>
      <c r="E12" s="8" t="n">
        <v>60000</v>
      </c>
      <c r="F12" s="8" t="n">
        <v>5000</v>
      </c>
      <c r="G12" s="9" t="n">
        <v>8</v>
      </c>
      <c r="H12" s="6" t="s">
        <v>15</v>
      </c>
      <c r="I12" s="8" t="n">
        <v>36953.12</v>
      </c>
    </row>
    <row r="13" customFormat="false" ht="15" hidden="false" customHeight="true" outlineLevel="0" collapsed="false">
      <c r="A13" s="5" t="s">
        <v>38</v>
      </c>
      <c r="B13" s="6" t="s">
        <v>39</v>
      </c>
      <c r="C13" s="6" t="s">
        <v>34</v>
      </c>
      <c r="D13" s="7" t="s">
        <v>40</v>
      </c>
      <c r="E13" s="8" t="n">
        <v>55000</v>
      </c>
      <c r="F13" s="8" t="n">
        <v>4000</v>
      </c>
      <c r="G13" s="9" t="n">
        <v>8</v>
      </c>
      <c r="H13" s="6" t="s">
        <v>15</v>
      </c>
      <c r="I13" s="8" t="n">
        <v>37453.13</v>
      </c>
    </row>
    <row r="14" customFormat="false" ht="15" hidden="false" customHeight="true" outlineLevel="0" collapsed="false">
      <c r="A14" s="5" t="s">
        <v>41</v>
      </c>
      <c r="B14" s="6" t="s">
        <v>42</v>
      </c>
      <c r="C14" s="6" t="s">
        <v>34</v>
      </c>
      <c r="D14" s="7" t="s">
        <v>40</v>
      </c>
      <c r="E14" s="8" t="n">
        <v>45000</v>
      </c>
      <c r="F14" s="8" t="n">
        <v>3000</v>
      </c>
      <c r="G14" s="9" t="n">
        <v>7</v>
      </c>
      <c r="H14" s="6" t="s">
        <v>15</v>
      </c>
      <c r="I14" s="8" t="n">
        <v>35250</v>
      </c>
    </row>
    <row r="15" customFormat="false" ht="15" hidden="false" customHeight="true" outlineLevel="0" collapsed="false">
      <c r="A15" s="5" t="s">
        <v>43</v>
      </c>
      <c r="B15" s="6" t="s">
        <v>44</v>
      </c>
      <c r="C15" s="6" t="s">
        <v>34</v>
      </c>
      <c r="D15" s="7" t="s">
        <v>45</v>
      </c>
      <c r="E15" s="8" t="n">
        <v>30000</v>
      </c>
      <c r="F15" s="8" t="n">
        <v>2000</v>
      </c>
      <c r="G15" s="9" t="n">
        <v>8</v>
      </c>
      <c r="H15" s="6" t="s">
        <v>15</v>
      </c>
      <c r="I15" s="8" t="n">
        <v>12395.83</v>
      </c>
    </row>
    <row r="16" customFormat="false" ht="15" hidden="false" customHeight="true" outlineLevel="0" collapsed="false">
      <c r="A16" s="5" t="s">
        <v>46</v>
      </c>
      <c r="B16" s="6" t="s">
        <v>47</v>
      </c>
      <c r="C16" s="6" t="s">
        <v>48</v>
      </c>
      <c r="D16" s="7" t="s">
        <v>49</v>
      </c>
      <c r="E16" s="8" t="n">
        <v>300000</v>
      </c>
      <c r="F16" s="8" t="n">
        <v>0</v>
      </c>
      <c r="G16" s="9" t="n">
        <v>15</v>
      </c>
      <c r="H16" s="6" t="s">
        <v>15</v>
      </c>
      <c r="I16" s="8" t="n">
        <v>134166.97</v>
      </c>
    </row>
    <row r="17" customFormat="false" ht="15" hidden="false" customHeight="true" outlineLevel="0" collapsed="false">
      <c r="A17" s="5" t="s">
        <v>50</v>
      </c>
      <c r="B17" s="6" t="s">
        <v>51</v>
      </c>
      <c r="C17" s="6" t="s">
        <v>48</v>
      </c>
      <c r="D17" s="7" t="s">
        <v>49</v>
      </c>
      <c r="E17" s="8" t="n">
        <v>160000</v>
      </c>
      <c r="F17" s="8" t="n">
        <v>0</v>
      </c>
      <c r="G17" s="9" t="n">
        <v>12</v>
      </c>
      <c r="H17" s="6" t="s">
        <v>15</v>
      </c>
      <c r="I17" s="8" t="n">
        <v>89444.45</v>
      </c>
    </row>
    <row r="18" customFormat="false" ht="15" hidden="false" customHeight="true" outlineLevel="0" collapsed="false">
      <c r="A18" s="5" t="s">
        <v>52</v>
      </c>
      <c r="B18" s="6" t="s">
        <v>53</v>
      </c>
      <c r="C18" s="6" t="s">
        <v>48</v>
      </c>
      <c r="D18" s="7" t="s">
        <v>54</v>
      </c>
      <c r="E18" s="8" t="n">
        <v>120000</v>
      </c>
      <c r="F18" s="8" t="n">
        <v>0</v>
      </c>
      <c r="G18" s="9" t="n">
        <v>12</v>
      </c>
      <c r="H18" s="6" t="s">
        <v>15</v>
      </c>
      <c r="I18" s="8" t="n">
        <v>54583.34</v>
      </c>
    </row>
    <row r="19" customFormat="false" ht="15" hidden="false" customHeight="true" outlineLevel="0" collapsed="false">
      <c r="A19" s="5" t="s">
        <v>55</v>
      </c>
      <c r="B19" s="6" t="s">
        <v>56</v>
      </c>
      <c r="C19" s="6" t="s">
        <v>48</v>
      </c>
      <c r="D19" s="7" t="s">
        <v>54</v>
      </c>
      <c r="E19" s="8" t="n">
        <v>96000</v>
      </c>
      <c r="F19" s="8" t="n">
        <v>0</v>
      </c>
      <c r="G19" s="9" t="n">
        <v>12</v>
      </c>
      <c r="H19" s="6" t="s">
        <v>15</v>
      </c>
      <c r="I19" s="8" t="n">
        <v>43666.66</v>
      </c>
    </row>
    <row r="20" customFormat="false" ht="15" hidden="false" customHeight="true" outlineLevel="0" collapsed="false">
      <c r="A20" s="5" t="s">
        <v>57</v>
      </c>
      <c r="B20" s="6" t="s">
        <v>58</v>
      </c>
      <c r="C20" s="6" t="s">
        <v>59</v>
      </c>
      <c r="D20" s="7" t="s">
        <v>60</v>
      </c>
      <c r="E20" s="8" t="n">
        <v>70000</v>
      </c>
      <c r="F20" s="8" t="n">
        <v>0</v>
      </c>
      <c r="G20" s="9" t="n">
        <v>5</v>
      </c>
      <c r="H20" s="6" t="s">
        <v>15</v>
      </c>
      <c r="I20" s="8" t="n">
        <v>58916.66</v>
      </c>
    </row>
    <row r="21" customFormat="false" ht="15" hidden="false" customHeight="true" outlineLevel="0" collapsed="false">
      <c r="A21" s="5" t="s">
        <v>61</v>
      </c>
      <c r="B21" s="6" t="s">
        <v>62</v>
      </c>
      <c r="C21" s="6" t="s">
        <v>59</v>
      </c>
      <c r="D21" s="7" t="s">
        <v>63</v>
      </c>
      <c r="E21" s="8" t="n">
        <v>40000</v>
      </c>
      <c r="F21" s="8" t="n">
        <v>0</v>
      </c>
      <c r="G21" s="9" t="n">
        <v>5</v>
      </c>
      <c r="H21" s="6" t="s">
        <v>15</v>
      </c>
      <c r="I21" s="8" t="n">
        <v>37000</v>
      </c>
    </row>
    <row r="22" customFormat="false" ht="15" hidden="false" customHeight="true" outlineLevel="0" collapsed="false">
      <c r="A22" s="5" t="s">
        <v>64</v>
      </c>
      <c r="B22" s="6" t="s">
        <v>65</v>
      </c>
      <c r="C22" s="6" t="s">
        <v>59</v>
      </c>
      <c r="D22" s="7" t="s">
        <v>66</v>
      </c>
      <c r="E22" s="8" t="n">
        <v>30000</v>
      </c>
      <c r="F22" s="8" t="n">
        <v>0</v>
      </c>
      <c r="G22" s="9" t="n">
        <v>5</v>
      </c>
      <c r="H22" s="6" t="s">
        <v>15</v>
      </c>
      <c r="I22" s="8" t="n">
        <v>23250</v>
      </c>
    </row>
    <row r="23" customFormat="false" ht="15" hidden="false" customHeight="true" outlineLevel="0" collapsed="false">
      <c r="A23" s="5" t="s">
        <v>67</v>
      </c>
      <c r="B23" s="6" t="s">
        <v>68</v>
      </c>
      <c r="C23" s="6" t="s">
        <v>69</v>
      </c>
      <c r="D23" s="7" t="s">
        <v>70</v>
      </c>
      <c r="E23" s="8" t="n">
        <v>180000</v>
      </c>
      <c r="F23" s="8" t="n">
        <v>10000</v>
      </c>
      <c r="G23" s="9" t="n">
        <v>10</v>
      </c>
      <c r="H23" s="6" t="s">
        <v>15</v>
      </c>
      <c r="I23" s="8" t="n">
        <v>112625</v>
      </c>
    </row>
    <row r="24" customFormat="false" ht="15" hidden="false" customHeight="true" outlineLevel="0" collapsed="false">
      <c r="A24" s="5" t="s">
        <v>71</v>
      </c>
      <c r="B24" s="6" t="s">
        <v>72</v>
      </c>
      <c r="C24" s="6" t="s">
        <v>69</v>
      </c>
      <c r="D24" s="7" t="s">
        <v>70</v>
      </c>
      <c r="E24" s="8" t="n">
        <v>150000</v>
      </c>
      <c r="F24" s="8" t="n">
        <v>8000</v>
      </c>
      <c r="G24" s="9" t="n">
        <v>10</v>
      </c>
      <c r="H24" s="6" t="s">
        <v>15</v>
      </c>
      <c r="I24" s="8" t="n">
        <v>94075</v>
      </c>
    </row>
    <row r="25" customFormat="false" ht="15" hidden="false" customHeight="true" outlineLevel="0" collapsed="false">
      <c r="A25" s="5" t="s">
        <v>73</v>
      </c>
      <c r="B25" s="6" t="s">
        <v>74</v>
      </c>
      <c r="C25" s="6" t="s">
        <v>69</v>
      </c>
      <c r="D25" s="7" t="s">
        <v>75</v>
      </c>
      <c r="E25" s="8" t="n">
        <v>110000</v>
      </c>
      <c r="F25" s="8" t="n">
        <v>5000</v>
      </c>
      <c r="G25" s="9" t="n">
        <v>10</v>
      </c>
      <c r="H25" s="6" t="s">
        <v>15</v>
      </c>
      <c r="I25" s="8" t="n">
        <v>54687.5</v>
      </c>
    </row>
    <row r="26" customFormat="false" ht="15" hidden="false" customHeight="true" outlineLevel="0" collapsed="false">
      <c r="A26" s="5" t="s">
        <v>76</v>
      </c>
      <c r="B26" s="6" t="s">
        <v>77</v>
      </c>
      <c r="C26" s="6" t="s">
        <v>78</v>
      </c>
      <c r="D26" s="7" t="s">
        <v>79</v>
      </c>
      <c r="E26" s="8" t="n">
        <v>260000</v>
      </c>
      <c r="F26" s="8" t="n">
        <v>20000</v>
      </c>
      <c r="G26" s="9" t="n">
        <v>15</v>
      </c>
      <c r="H26" s="6" t="s">
        <v>15</v>
      </c>
      <c r="I26" s="8" t="n">
        <v>104666.67</v>
      </c>
    </row>
    <row r="27" customFormat="false" ht="15" hidden="false" customHeight="true" outlineLevel="0" collapsed="false">
      <c r="A27" s="5" t="s">
        <v>80</v>
      </c>
      <c r="B27" s="6" t="s">
        <v>81</v>
      </c>
      <c r="C27" s="6" t="s">
        <v>78</v>
      </c>
      <c r="D27" s="7" t="s">
        <v>79</v>
      </c>
      <c r="E27" s="8" t="n">
        <v>180000</v>
      </c>
      <c r="F27" s="8" t="n">
        <v>12000</v>
      </c>
      <c r="G27" s="9" t="n">
        <v>15</v>
      </c>
      <c r="H27" s="6" t="s">
        <v>15</v>
      </c>
      <c r="I27" s="8" t="n">
        <v>73266.67</v>
      </c>
    </row>
    <row r="28" customFormat="false" ht="15" hidden="false" customHeight="true" outlineLevel="0" collapsed="false">
      <c r="A28" s="5" t="s">
        <v>82</v>
      </c>
      <c r="B28" s="6" t="s">
        <v>83</v>
      </c>
      <c r="C28" s="6" t="s">
        <v>78</v>
      </c>
      <c r="D28" s="7" t="s">
        <v>79</v>
      </c>
      <c r="E28" s="8" t="n">
        <v>140000</v>
      </c>
      <c r="F28" s="8" t="n">
        <v>8000</v>
      </c>
      <c r="G28" s="9" t="n">
        <v>11</v>
      </c>
      <c r="H28" s="6" t="s">
        <v>15</v>
      </c>
      <c r="I28" s="8" t="n">
        <v>78500</v>
      </c>
    </row>
    <row r="29" customFormat="false" ht="15" hidden="false" customHeight="true" outlineLevel="0" collapsed="false">
      <c r="A29" s="5" t="s">
        <v>84</v>
      </c>
      <c r="B29" s="6" t="s">
        <v>85</v>
      </c>
      <c r="C29" s="6" t="s">
        <v>78</v>
      </c>
      <c r="D29" s="7" t="s">
        <v>35</v>
      </c>
      <c r="E29" s="8" t="n">
        <v>110000</v>
      </c>
      <c r="F29" s="8" t="n">
        <v>5000</v>
      </c>
      <c r="G29" s="9" t="n">
        <v>10</v>
      </c>
      <c r="H29" s="6" t="s">
        <v>15</v>
      </c>
      <c r="I29" s="8" t="n">
        <v>56437.5</v>
      </c>
    </row>
    <row r="30" customFormat="false" ht="15" hidden="false" customHeight="true" outlineLevel="0" collapsed="false">
      <c r="A30" s="5" t="s">
        <v>86</v>
      </c>
      <c r="B30" s="6" t="s">
        <v>87</v>
      </c>
      <c r="C30" s="6" t="s">
        <v>78</v>
      </c>
      <c r="D30" s="7" t="s">
        <v>25</v>
      </c>
      <c r="E30" s="8" t="n">
        <v>54000</v>
      </c>
      <c r="F30" s="8" t="n">
        <v>2000</v>
      </c>
      <c r="G30" s="9" t="n">
        <v>12</v>
      </c>
      <c r="H30" s="6" t="s">
        <v>15</v>
      </c>
      <c r="I30" s="8" t="n">
        <v>25097.22</v>
      </c>
    </row>
    <row r="31" customFormat="false" ht="15" hidden="false" customHeight="true" outlineLevel="0" collapsed="false">
      <c r="A31" s="10"/>
      <c r="B31" s="10" t="s">
        <v>88</v>
      </c>
      <c r="C31" s="10"/>
      <c r="D31" s="10"/>
      <c r="E31" s="11" t="n">
        <f aca="false">SUM(E5:E30)</f>
        <v>2840000</v>
      </c>
      <c r="F31" s="11" t="n">
        <f aca="false">SUM(F5:F30)</f>
        <v>145000</v>
      </c>
      <c r="G31" s="10"/>
      <c r="H31" s="10"/>
      <c r="I31" s="11" t="n">
        <f aca="false">SUM(I5:I30)</f>
        <v>1563440</v>
      </c>
    </row>
    <row r="33" customFormat="false" ht="15" hidden="false" customHeight="true" outlineLevel="0" collapsed="false">
      <c r="B33" s="12" t="s">
        <v>89</v>
      </c>
    </row>
    <row r="35" customFormat="false" ht="15" hidden="false" customHeight="false" outlineLevel="0" collapsed="false">
      <c r="A35" s="13" t="s">
        <v>90</v>
      </c>
      <c r="B35" s="13"/>
      <c r="C35" s="13"/>
      <c r="D35" s="13"/>
      <c r="E35" s="13"/>
      <c r="F35" s="13"/>
      <c r="G35" s="13"/>
      <c r="H35" s="13"/>
      <c r="I35" s="13"/>
    </row>
    <row r="36" customFormat="false" ht="32.8" hidden="false" customHeight="false" outlineLevel="0" collapsed="false">
      <c r="A36" s="4" t="s">
        <v>2</v>
      </c>
      <c r="B36" s="4" t="s">
        <v>3</v>
      </c>
      <c r="C36" s="4" t="s">
        <v>4</v>
      </c>
      <c r="D36" s="4" t="s">
        <v>91</v>
      </c>
      <c r="E36" s="4" t="s">
        <v>92</v>
      </c>
      <c r="F36" s="4" t="s">
        <v>93</v>
      </c>
      <c r="G36" s="4" t="s">
        <v>94</v>
      </c>
      <c r="H36" s="4" t="s">
        <v>95</v>
      </c>
      <c r="I36" s="4" t="s">
        <v>96</v>
      </c>
    </row>
    <row r="37" customFormat="false" ht="15" hidden="false" customHeight="false" outlineLevel="0" collapsed="false">
      <c r="A37" s="5" t="s">
        <v>97</v>
      </c>
      <c r="B37" s="5" t="s">
        <v>98</v>
      </c>
      <c r="C37" s="5" t="s">
        <v>21</v>
      </c>
      <c r="D37" s="5" t="s">
        <v>99</v>
      </c>
      <c r="E37" s="14" t="n">
        <v>48000</v>
      </c>
      <c r="F37" s="14" t="n">
        <v>44000</v>
      </c>
      <c r="G37" s="14" t="n">
        <v>4000</v>
      </c>
      <c r="H37" s="14" t="n">
        <v>16000</v>
      </c>
      <c r="I37" s="14" t="n">
        <v>12000</v>
      </c>
    </row>
    <row r="39" customFormat="false" ht="15" hidden="false" customHeight="true" outlineLevel="0" collapsed="false">
      <c r="A39" s="15" t="s">
        <v>100</v>
      </c>
      <c r="B39" s="15"/>
      <c r="C39" s="15"/>
      <c r="D39" s="15"/>
      <c r="E39" s="15"/>
      <c r="F39" s="15"/>
      <c r="G39" s="15"/>
      <c r="H39" s="15"/>
      <c r="I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</row>
  </sheetData>
  <mergeCells count="4">
    <mergeCell ref="A1:I1"/>
    <mergeCell ref="A2:I2"/>
    <mergeCell ref="A35:I35"/>
    <mergeCell ref="A39:I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2026-06-17T08:30:56Z</dcterms:created>
  <dc:creator>openpyxl</dc:creator>
  <dc:description/>
  <dc:language>en-US</dc:language>
  <cp:lastModifiedBy/>
  <dcterms:modified xsi:type="dcterms:W3CDTF">2026-06-19T12:01:07Z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