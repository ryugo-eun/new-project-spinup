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-Trans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<sst xmlns="http://schemas.openxmlformats.org/spreadsheetml/2006/main" count="25" uniqueCount="20">
  <si>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Atlas Trade Provisions LLC — In-Transit Schedule (as of Nov 30, 2024)</t>
  </si>
  <si>
    <t xml:space="preserve">Containers recognized in transit by title transfer. Status drives December clearing to warehouse.</t>
  </si>
  <si>
    <t xml:space="preserve">Container</t>
  </si>
  <si>
    <t xml:space="preserve">Supplier</t>
  </si>
  <si>
    <t xml:space="preserve">Title Transfer</t>
  </si>
  <si>
    <t xml:space="preserve">Goods Value (USD)</t>
  </si>
  <si>
    <t xml:space="preserve">Status</t>
  </si>
  <si>
    <t xml:space="preserve">Expected Clear</t>
  </si>
  <si>
    <t xml:space="preserve">CN-2024-039</t>
  </si>
  <si>
    <t xml:space="preserve">Guangzhou Tea &amp; Spice Co</t>
  </si>
  <si>
    <t xml:space="preserve">2024-10-28</t>
  </si>
  <si>
    <t xml:space="preserve">In transit</t>
  </si>
  <si>
    <t xml:space="preserve">Dec 2024</t>
  </si>
  <si>
    <t xml:space="preserve">CN-2024-041</t>
  </si>
  <si>
    <t xml:space="preserve">Maison Lacroix SARL</t>
  </si>
  <si>
    <t xml:space="preserve">2024-11-12</t>
  </si>
  <si>
    <t xml:space="preserve">CN-2024-042</t>
  </si>
  <si>
    <t xml:space="preserve">2024-11-20</t>
  </si>
  <si>
    <t xml:space="preserve">TOTAL in transit</t>
  </si>
  <si>
    <t xml:space="preserve">Reflects containers in transit at Nov 30 (title transferred at origin, goods on water). December title transfers and clearings are recorded during the close.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</si>
</sst>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s">
        <v>9</v>
      </c>
      <c r="C5" s="7" t="s">
        <v>10</v>
      </c>
      <c r="D5" s="8" t="n">
        <v>130000</v>
      </c>
      <c r="E5" s="7" t="s">
        <v>11</v>
      </c>
      <c r="F5" s="7" t="s">
        <v>12</v>
      </c>
    </row>
    <row r="6" customFormat="false" ht="15" hidden="false" customHeight="false" outlineLevel="0" collapsed="false">
      <c r="A6" s="5" t="s">
        <v>13</v>
      </c>
      <c r="B6" s="6" t="s">
        <v>14</v>
      </c>
      <c r="C6" s="7" t="s">
        <v>15</v>
      </c>
      <c r="D6" s="8" t="n">
        <v>130000</v>
      </c>
      <c r="E6" s="7" t="s">
        <v>11</v>
      </c>
      <c r="F6" s="7" t="s">
        <v>12</v>
      </c>
    </row>
    <row r="7" customFormat="false" ht="15" hidden="false" customHeight="false" outlineLevel="0" collapsed="false">
      <c r="A7" s="5" t="s">
        <v>16</v>
      </c>
      <c r="B7" s="6" t="s">
        <v>9</v>
      </c>
      <c r="C7" s="7" t="s">
        <v>17</v>
      </c>
      <c r="D7" s="8" t="n">
        <v>110000</v>
      </c>
      <c r="E7" s="7" t="s">
        <v>11</v>
      </c>
      <c r="F7" s="7" t="s">
        <v>12</v>
      </c>
    </row>
    <row r="8" customFormat="false" ht="15" hidden="false" customHeight="false" outlineLevel="0" collapsed="false">
      <c r="A8" s="9"/>
      <c r="B8" s="9"/>
      <c r="C8" s="10" t="s">
        <v>18</v>
      </c>
      <c r="D8" s="11" t="n">
        <f aca="false">SUM(D5:D7)</f>
        <v>370000</v>
      </c>
      <c r="E8" s="9"/>
      <c r="F8" s="9"/>
    </row>
    <row r="10" customFormat="false" ht="15" hidden="false" customHeight="false" outlineLevel="0" collapsed="false">
      <c r="B10" s="12" t="s">
        <v>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